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20A014C-EA96-4A8C-AB5D-43AD40B38236}" xr6:coauthVersionLast="47" xr6:coauthVersionMax="47" xr10:uidLastSave="{00000000-0000-0000-0000-000000000000}"/>
  <bookViews>
    <workbookView xWindow="-120" yWindow="-120" windowWidth="24240" windowHeight="13740" tabRatio="977" xr2:uid="{00000000-000D-0000-FFFF-FFFF00000000}"/>
  </bookViews>
  <sheets>
    <sheet name="Quotation" sheetId="23" r:id="rId1"/>
    <sheet name="List Paket" sheetId="24" r:id="rId2"/>
  </sheets>
  <definedNames>
    <definedName name="_xlnm.Print_Area" localSheetId="1">'List Paket'!$A$1:$E$74</definedName>
    <definedName name="_xlnm.Print_Area" localSheetId="0">Quotation!$A$1:$J$52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23" l="1"/>
  <c r="J44" i="23" s="1"/>
  <c r="J41" i="23"/>
  <c r="J40" i="23"/>
  <c r="J37" i="23"/>
  <c r="J34" i="23"/>
  <c r="J31" i="23"/>
  <c r="J28" i="23"/>
  <c r="J25" i="23"/>
  <c r="J22" i="23"/>
  <c r="J19" i="23"/>
  <c r="J16" i="23"/>
</calcChain>
</file>

<file path=xl/sharedStrings.xml><?xml version="1.0" encoding="utf-8"?>
<sst xmlns="http://schemas.openxmlformats.org/spreadsheetml/2006/main" count="250" uniqueCount="200">
  <si>
    <t>NO.</t>
  </si>
  <si>
    <t>TEST DESCRIPTION</t>
  </si>
  <si>
    <t>PARAMETER</t>
  </si>
  <si>
    <t>Kebisingan</t>
  </si>
  <si>
    <t>PAKET HARGA</t>
  </si>
  <si>
    <t>Pencahayaan</t>
  </si>
  <si>
    <t>Getaran Lingkungan</t>
  </si>
  <si>
    <t>Swab Test</t>
  </si>
  <si>
    <t>Angka Kuman</t>
  </si>
  <si>
    <t>Ergonomi</t>
  </si>
  <si>
    <t>Psikologi</t>
  </si>
  <si>
    <t>Opasitas</t>
  </si>
  <si>
    <t>AIR</t>
  </si>
  <si>
    <t>Regulasi</t>
  </si>
  <si>
    <t>Air Limbah Domestik</t>
  </si>
  <si>
    <t xml:space="preserve">Air Limbah Industri </t>
  </si>
  <si>
    <t>SEDIMEN / TANAH</t>
  </si>
  <si>
    <t>Air Permukaan</t>
  </si>
  <si>
    <t>Air Laut</t>
  </si>
  <si>
    <t>Kesuburan Tanah</t>
  </si>
  <si>
    <t>B3 TCLP</t>
  </si>
  <si>
    <t xml:space="preserve">: </t>
  </si>
  <si>
    <t xml:space="preserve"> </t>
  </si>
  <si>
    <t>Sub total</t>
  </si>
  <si>
    <t>Total</t>
  </si>
  <si>
    <t>QUOTATION</t>
  </si>
  <si>
    <t>No</t>
  </si>
  <si>
    <t>Uraian</t>
  </si>
  <si>
    <t>Satuan</t>
  </si>
  <si>
    <t>Vol</t>
  </si>
  <si>
    <t>Harga Satuan</t>
  </si>
  <si>
    <t>Jumlah</t>
  </si>
  <si>
    <t>6 = 4 x 5</t>
  </si>
  <si>
    <t>Uji Kualitas Udara Ambien 24 Jam</t>
  </si>
  <si>
    <t>Regulasi : PPRI No. 22 tahun 2021</t>
  </si>
  <si>
    <t>Titik</t>
  </si>
  <si>
    <t>Kepada Yth</t>
  </si>
  <si>
    <t>Nomor :</t>
  </si>
  <si>
    <t>Tanggal :</t>
  </si>
  <si>
    <t>Alamat</t>
  </si>
  <si>
    <t>Up</t>
  </si>
  <si>
    <t>Nama</t>
  </si>
  <si>
    <t>Perihal</t>
  </si>
  <si>
    <t>Penawaran Jasa Pengujian Lingkungan</t>
  </si>
  <si>
    <t>Dengan Hormat,</t>
  </si>
  <si>
    <t>Direktur</t>
  </si>
  <si>
    <t>Notes:</t>
  </si>
  <si>
    <t>Transportasi dan Akomodasi</t>
  </si>
  <si>
    <t>Hari</t>
  </si>
  <si>
    <t>- Harga belum termasuk PPN 11%</t>
  </si>
  <si>
    <t>Engineer/Perdiem (2 Orang)</t>
  </si>
  <si>
    <t xml:space="preserve">Demikian penawaran ini kami sampaikan, atas perhatian serta kerjasama yang baik kami mengucapkan terima kasih. </t>
  </si>
  <si>
    <t xml:space="preserve">Regulasi : KepmenLH Kep-48/MENLH/11/1996 </t>
  </si>
  <si>
    <t>Parameter :  Kebisingan</t>
  </si>
  <si>
    <t>Parameter :  NO2, SO2, CO, O3, NMHC, TSP, PM2.5, PM10, Pb</t>
  </si>
  <si>
    <t>Uji Kualitas Udara Lingkungan Kerja</t>
  </si>
  <si>
    <t>Regulasi : Pernaker No. 5 tahun 2018</t>
  </si>
  <si>
    <t>Parameter :  SO2, CO, NO2, Debu Total</t>
  </si>
  <si>
    <t>Uji Kebisingan Ruangan (Sesaat)</t>
  </si>
  <si>
    <t>Uji Kebisingan 24 Jam</t>
  </si>
  <si>
    <t>Uji Kualitas Emisi Sumber Tidak Bergerak (Genset)</t>
  </si>
  <si>
    <t>Regulasi : PermenLHK No. 11 tahun 2021</t>
  </si>
  <si>
    <t>Parameter :  Partikulat, SO2, NO2, CO, Laju alir</t>
  </si>
  <si>
    <t>Uji Kualitas Air Limbah Domestik</t>
  </si>
  <si>
    <t>Regulasi : PermenLHK No. 68 tahun 2016</t>
  </si>
  <si>
    <t>Parameter :  TSS, pH, COD, BOD, OG, NH3, TC</t>
  </si>
  <si>
    <t>Uji Kualitas Air Bersih</t>
  </si>
  <si>
    <t>Regulasi : Permenkes No. 2 tahun 2023</t>
  </si>
  <si>
    <t>Parameter :  Fisika, Kimia, Mikrobiologi</t>
  </si>
  <si>
    <t xml:space="preserve">PT. </t>
  </si>
  <si>
    <t>Jl.</t>
  </si>
  <si>
    <t>Bpk/Ibu</t>
  </si>
  <si>
    <t>Menindaklanjuti permintaan penawaran harga perihal tersebut di atas, dengan ini kami sampaikan rincian penawaran harga sebagai berikut:</t>
  </si>
  <si>
    <t>Permenaker No. 5 tahun 2018</t>
  </si>
  <si>
    <t>Perdiem - Sesaat (Per Orang/Per Hari)</t>
  </si>
  <si>
    <t>Perdiem - 24 Jam (Per Orang/Per Hari)</t>
  </si>
  <si>
    <t>Ring 1 : Cianjur, Sukabumi, Bandung, Bogor (Jawa Barat</t>
  </si>
  <si>
    <t>Ring 3 : Luar Pulau Jawa</t>
  </si>
  <si>
    <t>SEWA ALAT</t>
  </si>
  <si>
    <t>Alat Sampling Udara (Impinger set)</t>
  </si>
  <si>
    <t>Impinger + Tripod</t>
  </si>
  <si>
    <t>Alat Sampling Udara (HVAS)</t>
  </si>
  <si>
    <t>HVAS</t>
  </si>
  <si>
    <t>Alat Sampling Udara (Minivol/Staplek)</t>
  </si>
  <si>
    <t xml:space="preserve">LVAS + Tripod </t>
  </si>
  <si>
    <t>Alat Sampling Emisi Cerobong (Isokinetik Set)</t>
  </si>
  <si>
    <t>Alat Sampling Emisi Cerobong (Fluegas)</t>
  </si>
  <si>
    <t>Alat Sampling Emisi Kendaraan (Solar/Bensin)</t>
  </si>
  <si>
    <t>Fluegas</t>
  </si>
  <si>
    <t>Isokinetik set</t>
  </si>
  <si>
    <t xml:space="preserve">Alat Sampling Air (Ph Meter dll) </t>
  </si>
  <si>
    <t>per unit</t>
  </si>
  <si>
    <t>Alat Sampling Lingker (Lux, ISBB, Sound level dll)</t>
  </si>
  <si>
    <t>Udara Ambien 24 Jam</t>
  </si>
  <si>
    <t>Udara Ambien Sesaat</t>
  </si>
  <si>
    <t>NO2, SO2, CO, O3, NMHC, TSP, PM2.5, PM10, Pb</t>
  </si>
  <si>
    <t>PPRI No. 22 tahun 2021 Lampiran VII</t>
  </si>
  <si>
    <t>NO2, SO2, CO, O3, NMHC, TSP</t>
  </si>
  <si>
    <t>Udara Kebauan</t>
  </si>
  <si>
    <t>KepMenLH No. 50 tahun 1996</t>
  </si>
  <si>
    <t>UDARA LINGKUNGAN</t>
  </si>
  <si>
    <t>KepMenLH No. 48 tahun 1996</t>
  </si>
  <si>
    <t>Kebisingan Lingkungan 24 Jam</t>
  </si>
  <si>
    <t>Kebisingan Lingkungan Sesaat</t>
  </si>
  <si>
    <t>KepMenLH No. 49 tahun 1996</t>
  </si>
  <si>
    <t>NH3, H2S, Metil Merkaptan, Metil Sulfida, Stirena</t>
  </si>
  <si>
    <t>Getaran</t>
  </si>
  <si>
    <t>LINGKUNGAN KERJA (INDUSTRIAL HYGIENE)</t>
  </si>
  <si>
    <t>Udara Lingkungan Kerja</t>
  </si>
  <si>
    <t>NO2, SO2, CO, Debu Total</t>
  </si>
  <si>
    <t>Udara Kebauan Lingkungan Kerja</t>
  </si>
  <si>
    <t>NH3, H2S, Benzena, Toluena, Xylena</t>
  </si>
  <si>
    <t>Kebisingan Lingkungan Kerja</t>
  </si>
  <si>
    <t>Iklim Kerja (ISBB)</t>
  </si>
  <si>
    <t>Radiasi Sinar Ultra Ungu (UV)</t>
  </si>
  <si>
    <t>Getaran Mekanis/Seluruh badan/Lengan tangan</t>
  </si>
  <si>
    <t>Mikrobiologi Udara</t>
  </si>
  <si>
    <t>Total Bakteri, Total Jamur</t>
  </si>
  <si>
    <t>Kualitas Udara Dalam Ruang (KUDR)</t>
  </si>
  <si>
    <t xml:space="preserve">RH, Suhu, laju alir, HCHO, CO2, CO, NO2, O3, PM10, TVOC, Jamur, Bakteri </t>
  </si>
  <si>
    <t>Swab</t>
  </si>
  <si>
    <t>EMISI</t>
  </si>
  <si>
    <t>Emisi Sumber Tidak Bergerak (Genset)</t>
  </si>
  <si>
    <t>Emisi Sumber Tidak Bergerak (Cerobong Produksi)</t>
  </si>
  <si>
    <t>Emisi Sumber Tidak Bergerak Metode Isokinetik</t>
  </si>
  <si>
    <t>Emisi Sumber Bergerak (Kendaraan) Bensin</t>
  </si>
  <si>
    <t>Emisi Sumber Bergerak (Kendaraan) Solar/Diesel</t>
  </si>
  <si>
    <t>HC, CO</t>
  </si>
  <si>
    <t>NOx, SO2, CO, Pastikulat, Laju alir, Opasitas</t>
  </si>
  <si>
    <t>Pedoman Teknis Permenaker No. 5 tahun 2018</t>
  </si>
  <si>
    <t>PerMenLHK No. 11 tahun 2021</t>
  </si>
  <si>
    <t>NOx, SO2, Pastikulat, Opasitas, HCl, Cl2, NH3, HF, Laju alir</t>
  </si>
  <si>
    <t>Emisi Sumber Tidak Bergerak (Boiler) Serabut/cangkang</t>
  </si>
  <si>
    <t>Emisi Sumber Tidak Bergerak (Boiler) Ampas/daun tebu kering</t>
  </si>
  <si>
    <t>NOx, SO2, Pastikulat, Opasitas, Laju alir</t>
  </si>
  <si>
    <t xml:space="preserve">Emisi Sumber Tidak Bergerak (Boiler) Batubara </t>
  </si>
  <si>
    <t>Emisi Sumber Tidak Bergerak (Boiler) Minyak</t>
  </si>
  <si>
    <t>Emisi Sumber Tidak Bergerak (Boiler) Gas</t>
  </si>
  <si>
    <t>NOx, SO2, Laju alir</t>
  </si>
  <si>
    <t>PerMenLH No. 7 tahun 2007 lampiran I</t>
  </si>
  <si>
    <t>PerMenLH No. 7 tahun 2007 lampiran II</t>
  </si>
  <si>
    <t>PerMenLH No. 7 tahun 2007 lampiran IV</t>
  </si>
  <si>
    <t>PerMenLH No. 7 tahun 2007 lampiran V</t>
  </si>
  <si>
    <t>PerMenLH No. 7 tahun 2007 lampiran VI</t>
  </si>
  <si>
    <t>NOx, SO2, Pastikulat, Opasitas, HCl, Cl2, NH3, HF, H2S, Hg, As, Sb, Cd, Zn, Pb, Laju alir</t>
  </si>
  <si>
    <t>KepMenLH No. 13 tahun 1995</t>
  </si>
  <si>
    <t>NOx, SO2, CO, Pastikulat, Laju alir, Opasitas, % Isokinetik</t>
  </si>
  <si>
    <t>PerMenLHK No. 8 tahun 2023</t>
  </si>
  <si>
    <t>TSS, pH, BOD, COD, NH3, Minyak lemak, Fecal Coliform</t>
  </si>
  <si>
    <t>Fisika, Kimia, Mikrbiologi (33 Parameter)</t>
  </si>
  <si>
    <t xml:space="preserve">Air Bersih </t>
  </si>
  <si>
    <t>Air Minum</t>
  </si>
  <si>
    <t>Suhu, TDS, Kekeruhan, Warna, Bau, pH, NO3, NO2, Cr6+, Fe, Mn, E.Coli, Total Coli</t>
  </si>
  <si>
    <t>Suhu, TDS, Kekeruhan, Warna, Bau, pH, NO3, NO2, Cr6+, Fe, Mn, Cr, As, Cd, Pb, F, Al, E.Coli, Total Coli</t>
  </si>
  <si>
    <t>PerMenLHK No. 11 tahun 2025</t>
  </si>
  <si>
    <t>PerMenLH No. 5 tahun 2014 lampiran XLVII</t>
  </si>
  <si>
    <t>PerMenKes No. 2 tahun 2023</t>
  </si>
  <si>
    <t>Fisika, Kimia, Mikrbiologi (38 Parameter)</t>
  </si>
  <si>
    <t>PPRI No. 22 tahun 2021 lampiran VI</t>
  </si>
  <si>
    <t>PPRI No. 22 tahun 2021 lampiran VIII</t>
  </si>
  <si>
    <t>Fisika, Kimia, Mikrbiologi, Pestisida, Kimia Organik</t>
  </si>
  <si>
    <t xml:space="preserve">Biota Air </t>
  </si>
  <si>
    <t>Plankton, Benthos</t>
  </si>
  <si>
    <t>-</t>
  </si>
  <si>
    <t>Radioaktivitas Air</t>
  </si>
  <si>
    <t>Gross A, Gross B</t>
  </si>
  <si>
    <t>TCLP</t>
  </si>
  <si>
    <t>LB3 Uji Karakteristik</t>
  </si>
  <si>
    <t>Uji Karakteristik</t>
  </si>
  <si>
    <t>PPRI No. 22 Tahun 2021 lampiran X</t>
  </si>
  <si>
    <t>PPRI No. 22 Tahun 2021 lampiran XI</t>
  </si>
  <si>
    <t>Fisika Tanah, Kimia Tanah</t>
  </si>
  <si>
    <t>Ring 2 : Jakarta, Banten, Jateng, Jatim dan sekitarnya</t>
  </si>
  <si>
    <t>PerMenKes No. 14 tahun 2021 / PerMenKes No. 7 tahun 2019</t>
  </si>
  <si>
    <t>PerMenKes No. 7 tahun 2019</t>
  </si>
  <si>
    <t>Angka kuman</t>
  </si>
  <si>
    <t>PETUGAS SAMPLING</t>
  </si>
  <si>
    <t>Cianjur</t>
  </si>
  <si>
    <t>TRANSPORTASI DAN AKOMODASI</t>
  </si>
  <si>
    <t>CTC</t>
  </si>
  <si>
    <t>LK RING 1</t>
  </si>
  <si>
    <t>LK RING 2</t>
  </si>
  <si>
    <t>LK RING 3</t>
  </si>
  <si>
    <t>Jakarta, Depok, Tangerang, Bekasi, Majalengka, Subang dan sekitarnya</t>
  </si>
  <si>
    <t>Jawa Tengah, Jogjakarta</t>
  </si>
  <si>
    <t xml:space="preserve">Jawa Tmur </t>
  </si>
  <si>
    <t>LK RING 4</t>
  </si>
  <si>
    <t>LUJA</t>
  </si>
  <si>
    <t>Luar Jawa (menyesuaikan jarak dan tiket pesawat dll)</t>
  </si>
  <si>
    <t>Cianjur Selatan, Sukabumi, Bandung, Cimahi, Bogor, Purwakarta</t>
  </si>
  <si>
    <t>Syarat &amp; Ketentuan</t>
  </si>
  <si>
    <t>- Waktu Pengujian di Laboratorum 10 hari kerja sejak sampel diterima oleh Laboratorium
- Untuk kategori Udara, sudah termasuk parameter meteorologi (Suhu, Kecepatan Angin, Arah Angin, kelembaban &amp; Cuaca)
- Bagi perusahaan yang tidak menerbitkan PO atau SPK, dapat menandatangani dan di stempel perusahaan pada penawaran harga yang kami sampaikan, sebagai Tanda Bukti Persetujuan Pelaksanaan Pekerjaan</t>
  </si>
  <si>
    <t>Dibuat Oleh</t>
  </si>
  <si>
    <t xml:space="preserve">Persetujuan Customer </t>
  </si>
  <si>
    <t>*)Paraf, Nama, Tanggal &amp; Stempel Perusahaan</t>
  </si>
  <si>
    <t>Bag. Marketing</t>
  </si>
  <si>
    <t>Disetujui Oleh</t>
  </si>
  <si>
    <t>Uji Kualitas Air Permukaan</t>
  </si>
  <si>
    <t>Regulasi : PPRI No. 22 tahun 2021 lampiran VI</t>
  </si>
  <si>
    <t>000/WLI-PH/II/26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</si>
</sst>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-&quot;Rp&quot;* #,##0_-;\-&quot;Rp&quot;* #,##0_-;_-&quot;Rp&quot;* &quot;-&quot;??_-;_-@_-"/>
    <numFmt numFmtId="165" formatCode="mmm\ dd\,\ yyyy"/>
    <numFmt numFmtId="166" formatCode="_-[$Rp-421]* #,##0_-;\-[$Rp-421]* #,##0_-;_-[$Rp-421]* &quot;-&quot;_-;_-@_-"/>
    <numFmt numFmtId="167" formatCode="[$-421]dd\ mmmm\ yyyy;@"/>
  </numFmts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sz val="7"/>
      <color theme="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i/>
      <sz val="11"/>
      <color theme="1"/>
      <name val="Calibri"/>
      <family val="2"/>
      <scheme val="minor"/>
    </font>
    <font>
      <b/>
      <i/>
      <sz val="14"/>
      <color theme="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6A4E"/>
        <bgColor indexed="64"/>
      </patternFill>
    </fill>
    <fill>
      <patternFill patternType="solid">
        <fgColor rgb="FFDDFFF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7">
    <xf numFmtId="0" fontId="0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6" fillId="0" borderId="0"/>
    <xf numFmtId="0" fontId="6" fillId="0" borderId="0"/>
    <xf numFmtId="0" fontId="1" fillId="0" borderId="0"/>
  </cellStyleXfs>
  <cellXfs count="100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1" fontId="5" fillId="0" borderId="1" xfId="1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/>
    <xf numFmtId="0" fontId="7" fillId="3" borderId="2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6" xfId="0" applyFill="1" applyBorder="1"/>
    <xf numFmtId="41" fontId="9" fillId="4" borderId="1" xfId="1" applyFont="1" applyFill="1" applyBorder="1" applyAlignment="1">
      <alignment horizontal="center" vertical="center"/>
    </xf>
    <xf numFmtId="164" fontId="1" fillId="2" borderId="0" xfId="6" applyNumberFormat="1" applyFill="1"/>
    <xf numFmtId="0" fontId="1" fillId="2" borderId="0" xfId="6" applyFill="1"/>
    <xf numFmtId="0" fontId="11" fillId="2" borderId="0" xfId="6" applyFont="1" applyFill="1" applyAlignment="1">
      <alignment vertical="top" wrapText="1"/>
    </xf>
    <xf numFmtId="0" fontId="4" fillId="2" borderId="0" xfId="6" applyFont="1" applyFill="1" applyAlignment="1">
      <alignment vertical="top" wrapText="1"/>
    </xf>
    <xf numFmtId="0" fontId="4" fillId="2" borderId="0" xfId="6" applyFont="1" applyFill="1" applyAlignment="1">
      <alignment horizontal="right" vertical="top"/>
    </xf>
    <xf numFmtId="165" fontId="5" fillId="2" borderId="0" xfId="6" applyNumberFormat="1" applyFont="1" applyFill="1" applyAlignment="1">
      <alignment horizontal="right" vertical="top"/>
    </xf>
    <xf numFmtId="0" fontId="12" fillId="2" borderId="0" xfId="6" applyFont="1" applyFill="1"/>
    <xf numFmtId="0" fontId="5" fillId="2" borderId="0" xfId="6" applyFont="1" applyFill="1"/>
    <xf numFmtId="0" fontId="9" fillId="2" borderId="0" xfId="6" applyFont="1" applyFill="1" applyAlignment="1">
      <alignment horizontal="left" vertical="top" wrapText="1"/>
    </xf>
    <xf numFmtId="0" fontId="9" fillId="2" borderId="0" xfId="6" applyFont="1" applyFill="1" applyAlignment="1">
      <alignment vertical="top" wrapText="1"/>
    </xf>
    <xf numFmtId="0" fontId="9" fillId="2" borderId="0" xfId="6" applyFont="1" applyFill="1" applyAlignment="1">
      <alignment horizontal="right" vertical="top"/>
    </xf>
    <xf numFmtId="165" fontId="10" fillId="2" borderId="0" xfId="6" applyNumberFormat="1" applyFont="1" applyFill="1" applyAlignment="1">
      <alignment horizontal="right" vertical="top"/>
    </xf>
    <xf numFmtId="167" fontId="10" fillId="2" borderId="0" xfId="6" applyNumberFormat="1" applyFont="1" applyFill="1" applyAlignment="1">
      <alignment horizontal="right" vertical="top"/>
    </xf>
    <xf numFmtId="0" fontId="10" fillId="2" borderId="0" xfId="6" applyFont="1" applyFill="1" applyAlignment="1">
      <alignment horizontal="left" vertical="top" wrapText="1"/>
    </xf>
    <xf numFmtId="0" fontId="10" fillId="2" borderId="0" xfId="6" applyFont="1" applyFill="1" applyAlignment="1">
      <alignment horizontal="center" vertical="top" wrapText="1"/>
    </xf>
    <xf numFmtId="0" fontId="9" fillId="2" borderId="0" xfId="6" applyFont="1" applyFill="1" applyAlignment="1">
      <alignment horizontal="center" vertical="top" wrapText="1"/>
    </xf>
    <xf numFmtId="164" fontId="1" fillId="2" borderId="0" xfId="6" applyNumberFormat="1" applyFill="1" applyAlignment="1">
      <alignment wrapText="1"/>
    </xf>
    <xf numFmtId="0" fontId="18" fillId="2" borderId="0" xfId="6" applyFont="1" applyFill="1" applyAlignment="1">
      <alignment vertical="top"/>
    </xf>
    <xf numFmtId="0" fontId="18" fillId="2" borderId="17" xfId="6" applyFont="1" applyFill="1" applyBorder="1" applyAlignment="1">
      <alignment vertical="top"/>
    </xf>
    <xf numFmtId="0" fontId="20" fillId="0" borderId="1" xfId="0" applyFont="1" applyBorder="1"/>
    <xf numFmtId="0" fontId="0" fillId="0" borderId="1" xfId="0" applyBorder="1" applyAlignment="1">
      <alignment horizontal="center" vertical="center"/>
    </xf>
    <xf numFmtId="41" fontId="8" fillId="0" borderId="1" xfId="1" applyFont="1" applyBorder="1" applyAlignment="1">
      <alignment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Border="1" applyAlignment="1">
      <alignment vertical="center"/>
    </xf>
    <xf numFmtId="164" fontId="0" fillId="0" borderId="0" xfId="0" applyNumberFormat="1"/>
    <xf numFmtId="164" fontId="0" fillId="4" borderId="1" xfId="0" applyNumberFormat="1" applyFill="1" applyBorder="1"/>
    <xf numFmtId="164" fontId="5" fillId="0" borderId="1" xfId="1" applyNumberFormat="1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41" fontId="10" fillId="0" borderId="1" xfId="1" applyFont="1" applyBorder="1" applyAlignment="1">
      <alignment vertical="center"/>
    </xf>
    <xf numFmtId="0" fontId="13" fillId="5" borderId="8" xfId="6" applyFont="1" applyFill="1" applyBorder="1" applyAlignment="1">
      <alignment horizontal="center" vertical="center"/>
    </xf>
    <xf numFmtId="0" fontId="17" fillId="5" borderId="8" xfId="6" applyFont="1" applyFill="1" applyBorder="1" applyAlignment="1">
      <alignment horizontal="center" vertical="center"/>
    </xf>
    <xf numFmtId="41" fontId="13" fillId="5" borderId="8" xfId="6" applyNumberFormat="1" applyFont="1" applyFill="1" applyBorder="1" applyAlignment="1">
      <alignment horizontal="right" vertical="center"/>
    </xf>
    <xf numFmtId="166" fontId="13" fillId="5" borderId="8" xfId="6" applyNumberFormat="1" applyFont="1" applyFill="1" applyBorder="1" applyAlignment="1">
      <alignment horizontal="right" vertical="center"/>
    </xf>
    <xf numFmtId="1" fontId="14" fillId="6" borderId="14" xfId="6" applyNumberFormat="1" applyFont="1" applyFill="1" applyBorder="1" applyAlignment="1">
      <alignment horizontal="center" vertical="center"/>
    </xf>
    <xf numFmtId="0" fontId="14" fillId="6" borderId="14" xfId="6" applyFont="1" applyFill="1" applyBorder="1" applyAlignment="1">
      <alignment horizontal="center" vertical="center"/>
    </xf>
    <xf numFmtId="164" fontId="14" fillId="6" borderId="14" xfId="6" applyNumberFormat="1" applyFont="1" applyFill="1" applyBorder="1" applyAlignment="1">
      <alignment horizontal="center" vertical="center"/>
    </xf>
    <xf numFmtId="0" fontId="21" fillId="5" borderId="0" xfId="6" applyFont="1" applyFill="1" applyAlignment="1">
      <alignment horizontal="right" vertical="center"/>
    </xf>
    <xf numFmtId="0" fontId="9" fillId="2" borderId="0" xfId="6" applyFont="1" applyFill="1" applyAlignment="1">
      <alignment horizontal="left" vertical="center"/>
    </xf>
    <xf numFmtId="0" fontId="10" fillId="2" borderId="0" xfId="6" applyFont="1" applyFill="1" applyAlignment="1">
      <alignment horizontal="left" vertical="top" wrapText="1"/>
    </xf>
    <xf numFmtId="0" fontId="9" fillId="2" borderId="0" xfId="6" applyFont="1" applyFill="1" applyAlignment="1">
      <alignment horizontal="left" vertical="top" wrapText="1"/>
    </xf>
    <xf numFmtId="1" fontId="14" fillId="6" borderId="12" xfId="6" applyNumberFormat="1" applyFont="1" applyFill="1" applyBorder="1" applyAlignment="1">
      <alignment horizontal="center" vertical="center"/>
    </xf>
    <xf numFmtId="1" fontId="14" fillId="6" borderId="13" xfId="6" applyNumberFormat="1" applyFont="1" applyFill="1" applyBorder="1" applyAlignment="1">
      <alignment horizontal="center" vertical="center"/>
    </xf>
    <xf numFmtId="1" fontId="14" fillId="6" borderId="14" xfId="6" applyNumberFormat="1" applyFont="1" applyFill="1" applyBorder="1" applyAlignment="1">
      <alignment horizontal="center" vertical="center"/>
    </xf>
    <xf numFmtId="0" fontId="13" fillId="5" borderId="8" xfId="6" applyFont="1" applyFill="1" applyBorder="1" applyAlignment="1">
      <alignment horizontal="center" vertical="center"/>
    </xf>
    <xf numFmtId="0" fontId="15" fillId="6" borderId="8" xfId="6" applyFont="1" applyFill="1" applyBorder="1" applyAlignment="1">
      <alignment horizontal="left" vertical="center" wrapText="1"/>
    </xf>
    <xf numFmtId="0" fontId="16" fillId="6" borderId="8" xfId="6" applyFont="1" applyFill="1" applyBorder="1" applyAlignment="1">
      <alignment horizontal="left" vertical="center"/>
    </xf>
    <xf numFmtId="0" fontId="16" fillId="6" borderId="9" xfId="6" applyFont="1" applyFill="1" applyBorder="1" applyAlignment="1">
      <alignment horizontal="left" vertical="center"/>
    </xf>
    <xf numFmtId="0" fontId="16" fillId="6" borderId="10" xfId="6" applyFont="1" applyFill="1" applyBorder="1" applyAlignment="1">
      <alignment horizontal="left" vertical="center"/>
    </xf>
    <xf numFmtId="0" fontId="16" fillId="6" borderId="11" xfId="6" applyFont="1" applyFill="1" applyBorder="1" applyAlignment="1">
      <alignment horizontal="left" vertical="center"/>
    </xf>
    <xf numFmtId="0" fontId="17" fillId="5" borderId="8" xfId="6" applyFont="1" applyFill="1" applyBorder="1" applyAlignment="1">
      <alignment horizontal="center" vertical="center"/>
    </xf>
    <xf numFmtId="0" fontId="14" fillId="6" borderId="12" xfId="6" applyFont="1" applyFill="1" applyBorder="1" applyAlignment="1">
      <alignment horizontal="center" vertical="center"/>
    </xf>
    <xf numFmtId="0" fontId="14" fillId="6" borderId="13" xfId="6" applyFont="1" applyFill="1" applyBorder="1" applyAlignment="1">
      <alignment horizontal="center" vertical="center"/>
    </xf>
    <xf numFmtId="0" fontId="14" fillId="6" borderId="14" xfId="6" applyFont="1" applyFill="1" applyBorder="1" applyAlignment="1">
      <alignment horizontal="center" vertical="center"/>
    </xf>
    <xf numFmtId="164" fontId="14" fillId="6" borderId="12" xfId="6" applyNumberFormat="1" applyFont="1" applyFill="1" applyBorder="1" applyAlignment="1">
      <alignment horizontal="center" vertical="center"/>
    </xf>
    <xf numFmtId="164" fontId="14" fillId="6" borderId="13" xfId="6" applyNumberFormat="1" applyFont="1" applyFill="1" applyBorder="1" applyAlignment="1">
      <alignment horizontal="center" vertical="center"/>
    </xf>
    <xf numFmtId="164" fontId="14" fillId="6" borderId="14" xfId="6" applyNumberFormat="1" applyFont="1" applyFill="1" applyBorder="1" applyAlignment="1">
      <alignment horizontal="center" vertical="center"/>
    </xf>
    <xf numFmtId="0" fontId="8" fillId="2" borderId="0" xfId="6" applyFont="1" applyFill="1" applyAlignment="1">
      <alignment horizontal="left" vertical="top" wrapText="1"/>
    </xf>
    <xf numFmtId="0" fontId="18" fillId="2" borderId="0" xfId="6" quotePrefix="1" applyFont="1" applyFill="1" applyAlignment="1">
      <alignment horizontal="left" vertical="top"/>
    </xf>
    <xf numFmtId="0" fontId="18" fillId="2" borderId="0" xfId="6" applyFont="1" applyFill="1" applyAlignment="1">
      <alignment horizontal="left" vertical="top"/>
    </xf>
    <xf numFmtId="0" fontId="18" fillId="2" borderId="17" xfId="6" applyFont="1" applyFill="1" applyBorder="1" applyAlignment="1">
      <alignment horizontal="left" vertical="top"/>
    </xf>
    <xf numFmtId="0" fontId="18" fillId="2" borderId="15" xfId="6" applyFont="1" applyFill="1" applyBorder="1" applyAlignment="1">
      <alignment horizontal="left"/>
    </xf>
    <xf numFmtId="0" fontId="18" fillId="2" borderId="16" xfId="6" applyFont="1" applyFill="1" applyBorder="1" applyAlignment="1">
      <alignment horizontal="left"/>
    </xf>
    <xf numFmtId="0" fontId="19" fillId="6" borderId="8" xfId="6" applyFont="1" applyFill="1" applyBorder="1" applyAlignment="1">
      <alignment horizontal="left" vertical="center" wrapText="1"/>
    </xf>
    <xf numFmtId="0" fontId="18" fillId="2" borderId="1" xfId="6" applyFont="1" applyFill="1" applyBorder="1" applyAlignment="1">
      <alignment horizontal="center" vertical="center"/>
    </xf>
    <xf numFmtId="0" fontId="22" fillId="2" borderId="1" xfId="6" quotePrefix="1" applyFont="1" applyFill="1" applyBorder="1" applyAlignment="1">
      <alignment horizontal="left" vertical="top" wrapText="1"/>
    </xf>
    <xf numFmtId="0" fontId="22" fillId="2" borderId="1" xfId="6" applyFont="1" applyFill="1" applyBorder="1" applyAlignment="1">
      <alignment horizontal="left" vertical="top"/>
    </xf>
    <xf numFmtId="0" fontId="23" fillId="2" borderId="2" xfId="6" applyFont="1" applyFill="1" applyBorder="1" applyAlignment="1">
      <alignment horizontal="center"/>
    </xf>
    <xf numFmtId="0" fontId="23" fillId="2" borderId="3" xfId="6" applyFont="1" applyFill="1" applyBorder="1" applyAlignment="1">
      <alignment horizontal="center"/>
    </xf>
    <xf numFmtId="0" fontId="23" fillId="2" borderId="6" xfId="6" applyFont="1" applyFill="1" applyBorder="1" applyAlignment="1">
      <alignment horizontal="center"/>
    </xf>
    <xf numFmtId="0" fontId="24" fillId="2" borderId="2" xfId="6" applyFont="1" applyFill="1" applyBorder="1" applyAlignment="1">
      <alignment horizontal="left"/>
    </xf>
    <xf numFmtId="0" fontId="24" fillId="2" borderId="3" xfId="6" applyFont="1" applyFill="1" applyBorder="1" applyAlignment="1">
      <alignment horizontal="left"/>
    </xf>
    <xf numFmtId="0" fontId="24" fillId="2" borderId="6" xfId="6" applyFont="1" applyFill="1" applyBorder="1" applyAlignment="1">
      <alignment horizontal="left"/>
    </xf>
    <xf numFmtId="0" fontId="15" fillId="6" borderId="9" xfId="6" applyFont="1" applyFill="1" applyBorder="1" applyAlignment="1">
      <alignment horizontal="left" vertical="center"/>
    </xf>
    <xf numFmtId="0" fontId="15" fillId="6" borderId="10" xfId="6" applyFont="1" applyFill="1" applyBorder="1" applyAlignment="1">
      <alignment horizontal="left" vertical="center"/>
    </xf>
    <xf numFmtId="0" fontId="15" fillId="6" borderId="11" xfId="6" applyFont="1" applyFill="1" applyBorder="1" applyAlignment="1">
      <alignment horizontal="left" vertical="center"/>
    </xf>
    <xf numFmtId="0" fontId="10" fillId="2" borderId="0" xfId="6" applyFont="1" applyFill="1" applyAlignment="1">
      <alignment horizontal="left" vertical="center" wrapText="1"/>
    </xf>
    <xf numFmtId="0" fontId="22" fillId="2" borderId="2" xfId="6" applyFont="1" applyFill="1" applyBorder="1" applyAlignment="1">
      <alignment horizontal="center"/>
    </xf>
    <xf numFmtId="0" fontId="22" fillId="2" borderId="3" xfId="6" applyFont="1" applyFill="1" applyBorder="1" applyAlignment="1">
      <alignment horizontal="center"/>
    </xf>
    <xf numFmtId="0" fontId="22" fillId="2" borderId="6" xfId="6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7">
    <cellStyle name="Comma [0]" xfId="1" builtinId="6"/>
    <cellStyle name="Comma [0] 2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Normal 4" xfId="2" xr:uid="{00000000-0005-0000-0000-000006000000}"/>
    <cellStyle name="Normal 5" xfId="6" xr:uid="{7157136A-BA4D-4974-9FF8-FD251D029FD9}"/>
  </cellStyles>
  <dxfs count="0"/>
  <tableStyles count="0" defaultTableStyle="TableStyleMedium2" defaultPivotStyle="PivotStyleLight16"/>
  <colors>
    <mruColors>
      <color rgb="FF006A4E"/>
      <color rgb="FFDDFFF6"/>
      <color rgb="FF3CB7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50</xdr:row>
      <xdr:rowOff>85726</xdr:rowOff>
    </xdr:from>
    <xdr:to>
      <xdr:col>3</xdr:col>
      <xdr:colOff>643074</xdr:colOff>
      <xdr:row>51</xdr:row>
      <xdr:rowOff>57150</xdr:rowOff>
    </xdr:to>
    <xdr:pic>
      <xdr:nvPicPr>
        <xdr:cNvPr id="6" name="Gambar 5">
          <a:extLst>
            <a:ext uri="{FF2B5EF4-FFF2-40B4-BE49-F238E27FC236}">
              <a16:creationId xmlns:a16="http://schemas.microsoft.com/office/drawing/2014/main" id="{3A11EF4E-B1C8-C480-CEC9-D1340FC39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8562976"/>
          <a:ext cx="1157423" cy="542924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49</xdr:row>
      <xdr:rowOff>28575</xdr:rowOff>
    </xdr:from>
    <xdr:to>
      <xdr:col>5</xdr:col>
      <xdr:colOff>389552</xdr:colOff>
      <xdr:row>52</xdr:row>
      <xdr:rowOff>85725</xdr:rowOff>
    </xdr:to>
    <xdr:pic>
      <xdr:nvPicPr>
        <xdr:cNvPr id="10" name="Gambar 9">
          <a:extLst>
            <a:ext uri="{FF2B5EF4-FFF2-40B4-BE49-F238E27FC236}">
              <a16:creationId xmlns:a16="http://schemas.microsoft.com/office/drawing/2014/main" id="{4D7DC4A0-68B0-D5F9-2B32-5C6E3AE54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8362950"/>
          <a:ext cx="856277" cy="92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1B33E-BBEA-4F53-BAD4-912F0694930C}">
  <dimension ref="A1:K52"/>
  <sheetViews>
    <sheetView tabSelected="1" view="pageLayout" zoomScaleNormal="85" zoomScaleSheetLayoutView="100" workbookViewId="0">
      <selection activeCell="J45" sqref="J45"/>
    </sheetView>
  </sheetViews>
  <sheetFormatPr defaultColWidth="10" defaultRowHeight="15" x14ac:dyDescent="0.25"/>
  <cols>
    <col min="1" max="1" width="3.7109375" style="15" customWidth="1"/>
    <col min="2" max="2" width="6.42578125" style="15" customWidth="1"/>
    <col min="3" max="3" width="1.5703125" style="15" customWidth="1"/>
    <col min="4" max="4" width="12.42578125" style="15" customWidth="1"/>
    <col min="5" max="5" width="10" style="15"/>
    <col min="6" max="6" width="9.140625" style="15" customWidth="1"/>
    <col min="7" max="8" width="7" style="15" customWidth="1"/>
    <col min="9" max="10" width="15.140625" style="15" customWidth="1"/>
    <col min="11" max="11" width="13.42578125" style="14" bestFit="1" customWidth="1"/>
    <col min="12" max="16384" width="10" style="15"/>
  </cols>
  <sheetData>
    <row r="1" spans="1:10" ht="9.9499999999999993" customHeight="1" x14ac:dyDescent="0.25"/>
    <row r="2" spans="1:10" ht="14.45" customHeight="1" x14ac:dyDescent="0.25">
      <c r="A2" s="51" t="s">
        <v>25</v>
      </c>
      <c r="B2" s="51"/>
      <c r="C2" s="51"/>
      <c r="D2" s="51"/>
      <c r="E2" s="51"/>
      <c r="F2" s="51"/>
      <c r="G2" s="51"/>
      <c r="H2" s="51"/>
      <c r="I2" s="51"/>
      <c r="J2" s="51"/>
    </row>
    <row r="3" spans="1:10" ht="9.9499999999999993" customHeight="1" x14ac:dyDescent="0.25">
      <c r="D3" s="16"/>
      <c r="E3" s="16"/>
      <c r="F3" s="16"/>
      <c r="G3" s="16"/>
      <c r="H3" s="16"/>
    </row>
    <row r="4" spans="1:10" ht="12.95" customHeight="1" x14ac:dyDescent="0.25">
      <c r="A4" s="52" t="s">
        <v>36</v>
      </c>
      <c r="B4" s="52"/>
      <c r="C4" s="22"/>
      <c r="D4" s="23"/>
      <c r="E4" s="17"/>
      <c r="F4" s="17"/>
      <c r="G4" s="17"/>
      <c r="H4" s="17"/>
      <c r="I4" s="24" t="s">
        <v>38</v>
      </c>
      <c r="J4" s="26">
        <v>46055</v>
      </c>
    </row>
    <row r="5" spans="1:10" ht="12.95" customHeight="1" x14ac:dyDescent="0.25">
      <c r="A5" s="53" t="s">
        <v>41</v>
      </c>
      <c r="B5" s="53"/>
      <c r="C5" s="28" t="s">
        <v>21</v>
      </c>
      <c r="D5" s="54" t="s">
        <v>69</v>
      </c>
      <c r="E5" s="54"/>
      <c r="F5" s="54"/>
      <c r="G5" s="54"/>
      <c r="H5" s="54"/>
      <c r="I5" s="24" t="s">
        <v>37</v>
      </c>
      <c r="J5" s="25" t="s">
        <v>199</v>
      </c>
    </row>
    <row r="6" spans="1:10" ht="12.95" customHeight="1" x14ac:dyDescent="0.25">
      <c r="A6" s="53" t="s">
        <v>40</v>
      </c>
      <c r="B6" s="53"/>
      <c r="C6" s="28" t="s">
        <v>21</v>
      </c>
      <c r="D6" s="53" t="s">
        <v>71</v>
      </c>
      <c r="E6" s="53"/>
      <c r="F6" s="53"/>
      <c r="G6" s="53"/>
      <c r="H6" s="53"/>
      <c r="I6" s="18"/>
      <c r="J6" s="19"/>
    </row>
    <row r="7" spans="1:10" s="14" customFormat="1" ht="12.95" customHeight="1" x14ac:dyDescent="0.25">
      <c r="A7" s="53" t="s">
        <v>39</v>
      </c>
      <c r="B7" s="53"/>
      <c r="C7" s="28" t="s">
        <v>21</v>
      </c>
      <c r="D7" s="71" t="s">
        <v>70</v>
      </c>
      <c r="E7" s="71"/>
      <c r="F7" s="71"/>
      <c r="G7" s="71"/>
      <c r="H7" s="71"/>
      <c r="I7" s="71"/>
      <c r="J7" s="71"/>
    </row>
    <row r="8" spans="1:10" s="14" customFormat="1" ht="9.9499999999999993" customHeight="1" x14ac:dyDescent="0.25">
      <c r="A8" s="27"/>
      <c r="B8" s="27"/>
      <c r="C8" s="28"/>
      <c r="D8" s="27"/>
      <c r="E8" s="27"/>
      <c r="F8" s="27"/>
      <c r="G8" s="27"/>
      <c r="H8" s="27"/>
      <c r="I8" s="27"/>
      <c r="J8" s="27"/>
    </row>
    <row r="9" spans="1:10" s="14" customFormat="1" ht="12.6" customHeight="1" x14ac:dyDescent="0.25">
      <c r="A9" s="54" t="s">
        <v>42</v>
      </c>
      <c r="B9" s="54"/>
      <c r="C9" s="29" t="s">
        <v>21</v>
      </c>
      <c r="D9" s="54" t="s">
        <v>43</v>
      </c>
      <c r="E9" s="54"/>
      <c r="F9" s="54"/>
      <c r="G9" s="54"/>
      <c r="H9" s="54"/>
      <c r="I9" s="54"/>
      <c r="J9" s="54"/>
    </row>
    <row r="10" spans="1:10" s="14" customFormat="1" ht="9.9499999999999993" customHeight="1" x14ac:dyDescent="0.25">
      <c r="A10" s="22"/>
      <c r="B10" s="22"/>
      <c r="C10" s="29"/>
      <c r="D10" s="22"/>
      <c r="E10" s="22"/>
      <c r="F10" s="22"/>
      <c r="G10" s="22"/>
      <c r="H10" s="22"/>
      <c r="I10" s="22"/>
      <c r="J10" s="22"/>
    </row>
    <row r="11" spans="1:10" s="14" customFormat="1" ht="12.95" customHeight="1" x14ac:dyDescent="0.25">
      <c r="A11" s="53" t="s">
        <v>44</v>
      </c>
      <c r="B11" s="53"/>
      <c r="C11" s="53"/>
      <c r="D11" s="53"/>
      <c r="E11" s="53"/>
      <c r="F11" s="53"/>
      <c r="G11" s="53"/>
      <c r="H11" s="53"/>
      <c r="I11" s="53"/>
      <c r="J11" s="53"/>
    </row>
    <row r="12" spans="1:10" s="14" customFormat="1" ht="24.95" customHeight="1" x14ac:dyDescent="0.25">
      <c r="A12" s="53" t="s">
        <v>72</v>
      </c>
      <c r="B12" s="53"/>
      <c r="C12" s="53"/>
      <c r="D12" s="53"/>
      <c r="E12" s="53"/>
      <c r="F12" s="53"/>
      <c r="G12" s="53"/>
      <c r="H12" s="53"/>
      <c r="I12" s="53"/>
      <c r="J12" s="53"/>
    </row>
    <row r="13" spans="1:10" s="14" customFormat="1" ht="9.9499999999999993" customHeight="1" x14ac:dyDescent="0.25">
      <c r="A13" s="15" t="s">
        <v>22</v>
      </c>
      <c r="B13" s="15"/>
      <c r="C13" s="15"/>
      <c r="D13" s="15"/>
      <c r="E13" s="15"/>
      <c r="F13" s="15"/>
      <c r="G13" s="15"/>
      <c r="H13" s="15"/>
      <c r="I13" s="15"/>
      <c r="J13" s="15"/>
    </row>
    <row r="14" spans="1:10" s="14" customFormat="1" ht="17.100000000000001" customHeight="1" x14ac:dyDescent="0.25">
      <c r="A14" s="44" t="s">
        <v>26</v>
      </c>
      <c r="B14" s="58" t="s">
        <v>27</v>
      </c>
      <c r="C14" s="58"/>
      <c r="D14" s="58"/>
      <c r="E14" s="58"/>
      <c r="F14" s="58"/>
      <c r="G14" s="44" t="s">
        <v>28</v>
      </c>
      <c r="H14" s="44" t="s">
        <v>29</v>
      </c>
      <c r="I14" s="44" t="s">
        <v>30</v>
      </c>
      <c r="J14" s="44" t="s">
        <v>31</v>
      </c>
    </row>
    <row r="15" spans="1:10" s="14" customFormat="1" ht="10.5" customHeight="1" x14ac:dyDescent="0.25">
      <c r="A15" s="45">
        <v>1</v>
      </c>
      <c r="B15" s="64">
        <v>2</v>
      </c>
      <c r="C15" s="64"/>
      <c r="D15" s="64"/>
      <c r="E15" s="64"/>
      <c r="F15" s="64"/>
      <c r="G15" s="45">
        <v>3</v>
      </c>
      <c r="H15" s="45">
        <v>4</v>
      </c>
      <c r="I15" s="45">
        <v>5</v>
      </c>
      <c r="J15" s="45" t="s">
        <v>32</v>
      </c>
    </row>
    <row r="16" spans="1:10" s="14" customFormat="1" ht="12.95" customHeight="1" x14ac:dyDescent="0.25">
      <c r="A16" s="55">
        <v>1</v>
      </c>
      <c r="B16" s="59" t="s">
        <v>33</v>
      </c>
      <c r="C16" s="59"/>
      <c r="D16" s="59"/>
      <c r="E16" s="59"/>
      <c r="F16" s="59"/>
      <c r="G16" s="65" t="s">
        <v>35</v>
      </c>
      <c r="H16" s="65">
        <v>1</v>
      </c>
      <c r="I16" s="68"/>
      <c r="J16" s="68">
        <f>H16*I16</f>
        <v>0</v>
      </c>
    </row>
    <row r="17" spans="1:10" s="14" customFormat="1" ht="12.6" customHeight="1" x14ac:dyDescent="0.25">
      <c r="A17" s="56"/>
      <c r="B17" s="60" t="s">
        <v>34</v>
      </c>
      <c r="C17" s="60"/>
      <c r="D17" s="60"/>
      <c r="E17" s="60"/>
      <c r="F17" s="60"/>
      <c r="G17" s="66"/>
      <c r="H17" s="66"/>
      <c r="I17" s="69"/>
      <c r="J17" s="69"/>
    </row>
    <row r="18" spans="1:10" s="14" customFormat="1" ht="12.6" customHeight="1" x14ac:dyDescent="0.25">
      <c r="A18" s="57"/>
      <c r="B18" s="61" t="s">
        <v>54</v>
      </c>
      <c r="C18" s="62"/>
      <c r="D18" s="62"/>
      <c r="E18" s="62"/>
      <c r="F18" s="63"/>
      <c r="G18" s="67"/>
      <c r="H18" s="67"/>
      <c r="I18" s="70"/>
      <c r="J18" s="70"/>
    </row>
    <row r="19" spans="1:10" s="14" customFormat="1" ht="12.6" customHeight="1" x14ac:dyDescent="0.25">
      <c r="A19" s="55">
        <v>2</v>
      </c>
      <c r="B19" s="59" t="s">
        <v>59</v>
      </c>
      <c r="C19" s="59"/>
      <c r="D19" s="59"/>
      <c r="E19" s="59"/>
      <c r="F19" s="59"/>
      <c r="G19" s="65" t="s">
        <v>35</v>
      </c>
      <c r="H19" s="65">
        <v>1</v>
      </c>
      <c r="I19" s="68"/>
      <c r="J19" s="68">
        <f>H19*I19</f>
        <v>0</v>
      </c>
    </row>
    <row r="20" spans="1:10" s="14" customFormat="1" ht="12.6" customHeight="1" x14ac:dyDescent="0.25">
      <c r="A20" s="56"/>
      <c r="B20" s="60" t="s">
        <v>52</v>
      </c>
      <c r="C20" s="60"/>
      <c r="D20" s="60"/>
      <c r="E20" s="60"/>
      <c r="F20" s="60"/>
      <c r="G20" s="66"/>
      <c r="H20" s="66"/>
      <c r="I20" s="69"/>
      <c r="J20" s="69"/>
    </row>
    <row r="21" spans="1:10" s="14" customFormat="1" ht="12.6" customHeight="1" x14ac:dyDescent="0.25">
      <c r="A21" s="57"/>
      <c r="B21" s="61" t="s">
        <v>53</v>
      </c>
      <c r="C21" s="62"/>
      <c r="D21" s="62"/>
      <c r="E21" s="62"/>
      <c r="F21" s="63"/>
      <c r="G21" s="67"/>
      <c r="H21" s="67"/>
      <c r="I21" s="70"/>
      <c r="J21" s="70"/>
    </row>
    <row r="22" spans="1:10" s="14" customFormat="1" ht="12.6" customHeight="1" x14ac:dyDescent="0.25">
      <c r="A22" s="55">
        <v>3</v>
      </c>
      <c r="B22" s="59" t="s">
        <v>55</v>
      </c>
      <c r="C22" s="59"/>
      <c r="D22" s="59"/>
      <c r="E22" s="59"/>
      <c r="F22" s="59"/>
      <c r="G22" s="65" t="s">
        <v>35</v>
      </c>
      <c r="H22" s="65">
        <v>1</v>
      </c>
      <c r="I22" s="68"/>
      <c r="J22" s="68">
        <f>H22*I22</f>
        <v>0</v>
      </c>
    </row>
    <row r="23" spans="1:10" s="14" customFormat="1" ht="12.6" customHeight="1" x14ac:dyDescent="0.25">
      <c r="A23" s="56"/>
      <c r="B23" s="60" t="s">
        <v>56</v>
      </c>
      <c r="C23" s="60"/>
      <c r="D23" s="60"/>
      <c r="E23" s="60"/>
      <c r="F23" s="60"/>
      <c r="G23" s="66"/>
      <c r="H23" s="66"/>
      <c r="I23" s="69"/>
      <c r="J23" s="69"/>
    </row>
    <row r="24" spans="1:10" s="14" customFormat="1" ht="12.6" customHeight="1" x14ac:dyDescent="0.25">
      <c r="A24" s="57"/>
      <c r="B24" s="61" t="s">
        <v>57</v>
      </c>
      <c r="C24" s="62"/>
      <c r="D24" s="62"/>
      <c r="E24" s="62"/>
      <c r="F24" s="63"/>
      <c r="G24" s="67"/>
      <c r="H24" s="67"/>
      <c r="I24" s="70"/>
      <c r="J24" s="70"/>
    </row>
    <row r="25" spans="1:10" s="14" customFormat="1" ht="12.6" customHeight="1" x14ac:dyDescent="0.25">
      <c r="A25" s="55">
        <v>4</v>
      </c>
      <c r="B25" s="59" t="s">
        <v>58</v>
      </c>
      <c r="C25" s="59"/>
      <c r="D25" s="59"/>
      <c r="E25" s="59"/>
      <c r="F25" s="59"/>
      <c r="G25" s="65" t="s">
        <v>35</v>
      </c>
      <c r="H25" s="65">
        <v>1</v>
      </c>
      <c r="I25" s="68"/>
      <c r="J25" s="68">
        <f>H25*I25</f>
        <v>0</v>
      </c>
    </row>
    <row r="26" spans="1:10" s="14" customFormat="1" ht="12.6" customHeight="1" x14ac:dyDescent="0.25">
      <c r="A26" s="56"/>
      <c r="B26" s="60" t="s">
        <v>56</v>
      </c>
      <c r="C26" s="60"/>
      <c r="D26" s="60"/>
      <c r="E26" s="60"/>
      <c r="F26" s="60"/>
      <c r="G26" s="66"/>
      <c r="H26" s="66"/>
      <c r="I26" s="69"/>
      <c r="J26" s="69"/>
    </row>
    <row r="27" spans="1:10" s="14" customFormat="1" ht="12.6" customHeight="1" x14ac:dyDescent="0.25">
      <c r="A27" s="57"/>
      <c r="B27" s="61" t="s">
        <v>53</v>
      </c>
      <c r="C27" s="62"/>
      <c r="D27" s="62"/>
      <c r="E27" s="62"/>
      <c r="F27" s="63"/>
      <c r="G27" s="67"/>
      <c r="H27" s="67"/>
      <c r="I27" s="70"/>
      <c r="J27" s="70"/>
    </row>
    <row r="28" spans="1:10" s="14" customFormat="1" ht="12.6" customHeight="1" x14ac:dyDescent="0.25">
      <c r="A28" s="55">
        <v>5</v>
      </c>
      <c r="B28" s="77" t="s">
        <v>60</v>
      </c>
      <c r="C28" s="77"/>
      <c r="D28" s="77"/>
      <c r="E28" s="77"/>
      <c r="F28" s="77"/>
      <c r="G28" s="65" t="s">
        <v>35</v>
      </c>
      <c r="H28" s="65">
        <v>1</v>
      </c>
      <c r="I28" s="68"/>
      <c r="J28" s="68">
        <f>H28*I28</f>
        <v>0</v>
      </c>
    </row>
    <row r="29" spans="1:10" s="14" customFormat="1" ht="12.6" customHeight="1" x14ac:dyDescent="0.25">
      <c r="A29" s="56"/>
      <c r="B29" s="60" t="s">
        <v>61</v>
      </c>
      <c r="C29" s="60"/>
      <c r="D29" s="60"/>
      <c r="E29" s="60"/>
      <c r="F29" s="60"/>
      <c r="G29" s="66"/>
      <c r="H29" s="66"/>
      <c r="I29" s="69"/>
      <c r="J29" s="69"/>
    </row>
    <row r="30" spans="1:10" s="14" customFormat="1" ht="12.6" customHeight="1" x14ac:dyDescent="0.25">
      <c r="A30" s="57"/>
      <c r="B30" s="61" t="s">
        <v>62</v>
      </c>
      <c r="C30" s="62"/>
      <c r="D30" s="62"/>
      <c r="E30" s="62"/>
      <c r="F30" s="63"/>
      <c r="G30" s="67"/>
      <c r="H30" s="67"/>
      <c r="I30" s="70"/>
      <c r="J30" s="70"/>
    </row>
    <row r="31" spans="1:10" s="14" customFormat="1" ht="12.6" customHeight="1" x14ac:dyDescent="0.25">
      <c r="A31" s="55">
        <v>6</v>
      </c>
      <c r="B31" s="59" t="s">
        <v>63</v>
      </c>
      <c r="C31" s="59"/>
      <c r="D31" s="59"/>
      <c r="E31" s="59"/>
      <c r="F31" s="59"/>
      <c r="G31" s="65" t="s">
        <v>35</v>
      </c>
      <c r="H31" s="65">
        <v>1</v>
      </c>
      <c r="I31" s="68"/>
      <c r="J31" s="68">
        <f>H31*I31</f>
        <v>0</v>
      </c>
    </row>
    <row r="32" spans="1:10" s="14" customFormat="1" ht="12.6" customHeight="1" x14ac:dyDescent="0.25">
      <c r="A32" s="56"/>
      <c r="B32" s="60" t="s">
        <v>64</v>
      </c>
      <c r="C32" s="60"/>
      <c r="D32" s="60"/>
      <c r="E32" s="60"/>
      <c r="F32" s="60"/>
      <c r="G32" s="66"/>
      <c r="H32" s="66"/>
      <c r="I32" s="69"/>
      <c r="J32" s="69"/>
    </row>
    <row r="33" spans="1:10" s="14" customFormat="1" ht="12.6" customHeight="1" x14ac:dyDescent="0.25">
      <c r="A33" s="57"/>
      <c r="B33" s="61" t="s">
        <v>65</v>
      </c>
      <c r="C33" s="62"/>
      <c r="D33" s="62"/>
      <c r="E33" s="62"/>
      <c r="F33" s="63"/>
      <c r="G33" s="67"/>
      <c r="H33" s="67"/>
      <c r="I33" s="70"/>
      <c r="J33" s="70"/>
    </row>
    <row r="34" spans="1:10" s="14" customFormat="1" ht="12.6" customHeight="1" x14ac:dyDescent="0.25">
      <c r="A34" s="55">
        <v>7</v>
      </c>
      <c r="B34" s="59" t="s">
        <v>66</v>
      </c>
      <c r="C34" s="59"/>
      <c r="D34" s="59"/>
      <c r="E34" s="59"/>
      <c r="F34" s="59"/>
      <c r="G34" s="65" t="s">
        <v>35</v>
      </c>
      <c r="H34" s="65">
        <v>1</v>
      </c>
      <c r="I34" s="68"/>
      <c r="J34" s="68">
        <f>H34*I34</f>
        <v>0</v>
      </c>
    </row>
    <row r="35" spans="1:10" s="14" customFormat="1" ht="12.6" customHeight="1" x14ac:dyDescent="0.25">
      <c r="A35" s="56"/>
      <c r="B35" s="60" t="s">
        <v>67</v>
      </c>
      <c r="C35" s="60"/>
      <c r="D35" s="60"/>
      <c r="E35" s="60"/>
      <c r="F35" s="60"/>
      <c r="G35" s="66"/>
      <c r="H35" s="66"/>
      <c r="I35" s="69"/>
      <c r="J35" s="69"/>
    </row>
    <row r="36" spans="1:10" s="14" customFormat="1" ht="12.6" customHeight="1" x14ac:dyDescent="0.25">
      <c r="A36" s="57"/>
      <c r="B36" s="61" t="s">
        <v>68</v>
      </c>
      <c r="C36" s="62"/>
      <c r="D36" s="62"/>
      <c r="E36" s="62"/>
      <c r="F36" s="63"/>
      <c r="G36" s="67"/>
      <c r="H36" s="67"/>
      <c r="I36" s="70"/>
      <c r="J36" s="70"/>
    </row>
    <row r="37" spans="1:10" s="14" customFormat="1" ht="12.6" customHeight="1" x14ac:dyDescent="0.25">
      <c r="A37" s="55">
        <v>8</v>
      </c>
      <c r="B37" s="59" t="s">
        <v>197</v>
      </c>
      <c r="C37" s="59"/>
      <c r="D37" s="59"/>
      <c r="E37" s="59"/>
      <c r="F37" s="59"/>
      <c r="G37" s="65" t="s">
        <v>35</v>
      </c>
      <c r="H37" s="65">
        <v>1</v>
      </c>
      <c r="I37" s="68"/>
      <c r="J37" s="68">
        <f>H37*I37</f>
        <v>0</v>
      </c>
    </row>
    <row r="38" spans="1:10" s="14" customFormat="1" ht="12.6" customHeight="1" x14ac:dyDescent="0.25">
      <c r="A38" s="56"/>
      <c r="B38" s="60" t="s">
        <v>198</v>
      </c>
      <c r="C38" s="60"/>
      <c r="D38" s="60"/>
      <c r="E38" s="60"/>
      <c r="F38" s="60"/>
      <c r="G38" s="66"/>
      <c r="H38" s="66"/>
      <c r="I38" s="69"/>
      <c r="J38" s="69"/>
    </row>
    <row r="39" spans="1:10" s="14" customFormat="1" ht="12.6" customHeight="1" x14ac:dyDescent="0.25">
      <c r="A39" s="57"/>
      <c r="B39" s="61" t="s">
        <v>68</v>
      </c>
      <c r="C39" s="62"/>
      <c r="D39" s="62"/>
      <c r="E39" s="62"/>
      <c r="F39" s="63"/>
      <c r="G39" s="67"/>
      <c r="H39" s="67"/>
      <c r="I39" s="70"/>
      <c r="J39" s="70"/>
    </row>
    <row r="40" spans="1:10" s="14" customFormat="1" ht="12.6" customHeight="1" x14ac:dyDescent="0.25">
      <c r="A40" s="48">
        <v>9</v>
      </c>
      <c r="B40" s="87" t="s">
        <v>50</v>
      </c>
      <c r="C40" s="88"/>
      <c r="D40" s="88"/>
      <c r="E40" s="88"/>
      <c r="F40" s="89"/>
      <c r="G40" s="49" t="s">
        <v>48</v>
      </c>
      <c r="H40" s="49">
        <v>1</v>
      </c>
      <c r="I40" s="50"/>
      <c r="J40" s="50">
        <f>H40*I40</f>
        <v>0</v>
      </c>
    </row>
    <row r="41" spans="1:10" s="14" customFormat="1" ht="12.6" customHeight="1" x14ac:dyDescent="0.25">
      <c r="A41" s="48">
        <v>10</v>
      </c>
      <c r="B41" s="87" t="s">
        <v>47</v>
      </c>
      <c r="C41" s="88"/>
      <c r="D41" s="88"/>
      <c r="E41" s="88"/>
      <c r="F41" s="89"/>
      <c r="G41" s="49" t="s">
        <v>48</v>
      </c>
      <c r="H41" s="49">
        <v>1</v>
      </c>
      <c r="I41" s="50"/>
      <c r="J41" s="50">
        <f>H41*I41</f>
        <v>0</v>
      </c>
    </row>
    <row r="42" spans="1:10" s="14" customFormat="1" ht="14.1" customHeight="1" x14ac:dyDescent="0.25">
      <c r="A42" s="75" t="s">
        <v>46</v>
      </c>
      <c r="B42" s="75"/>
      <c r="C42" s="75"/>
      <c r="D42" s="75"/>
      <c r="E42" s="75"/>
      <c r="F42" s="75"/>
      <c r="G42" s="75"/>
      <c r="H42" s="76"/>
      <c r="I42" s="46" t="s">
        <v>23</v>
      </c>
      <c r="J42" s="47">
        <f>SUM(J16:J41)</f>
        <v>0</v>
      </c>
    </row>
    <row r="43" spans="1:10" s="14" customFormat="1" ht="14.1" customHeight="1" x14ac:dyDescent="0.25">
      <c r="A43" s="72" t="s">
        <v>49</v>
      </c>
      <c r="B43" s="73"/>
      <c r="C43" s="73"/>
      <c r="D43" s="73"/>
      <c r="E43" s="73"/>
      <c r="F43" s="73"/>
      <c r="G43" s="73"/>
      <c r="H43" s="74"/>
      <c r="I43" s="46"/>
      <c r="J43" s="47"/>
    </row>
    <row r="44" spans="1:10" s="14" customFormat="1" ht="14.1" customHeight="1" x14ac:dyDescent="0.25">
      <c r="A44" s="31"/>
      <c r="B44" s="31"/>
      <c r="C44" s="31"/>
      <c r="D44" s="31"/>
      <c r="E44" s="31"/>
      <c r="F44" s="31"/>
      <c r="G44" s="31"/>
      <c r="H44" s="32"/>
      <c r="I44" s="46" t="s">
        <v>24</v>
      </c>
      <c r="J44" s="47">
        <f>SUM(J42:J43)</f>
        <v>0</v>
      </c>
    </row>
    <row r="45" spans="1:10" s="14" customFormat="1" ht="9.9499999999999993" customHeight="1" x14ac:dyDescent="0.25">
      <c r="A45" s="20"/>
      <c r="B45" s="21"/>
      <c r="C45" s="21"/>
      <c r="D45" s="20"/>
      <c r="E45" s="20"/>
      <c r="F45" s="20"/>
      <c r="G45" s="20"/>
      <c r="H45" s="20"/>
      <c r="I45" s="20"/>
      <c r="J45" s="20"/>
    </row>
    <row r="46" spans="1:10" s="30" customFormat="1" ht="12.6" customHeight="1" x14ac:dyDescent="0.25">
      <c r="A46" s="90" t="s">
        <v>51</v>
      </c>
      <c r="B46" s="90"/>
      <c r="C46" s="90"/>
      <c r="D46" s="90"/>
      <c r="E46" s="90"/>
      <c r="F46" s="90"/>
      <c r="G46" s="90"/>
      <c r="H46" s="90"/>
      <c r="I46" s="90"/>
      <c r="J46" s="90"/>
    </row>
    <row r="47" spans="1:10" s="14" customFormat="1" ht="38.25" customHeight="1" x14ac:dyDescent="0.25">
      <c r="A47" s="20"/>
      <c r="B47" s="21"/>
      <c r="C47" s="21"/>
      <c r="D47" s="20"/>
      <c r="E47" s="20"/>
      <c r="F47" s="20"/>
      <c r="G47" s="20"/>
      <c r="H47" s="20"/>
      <c r="I47" s="20"/>
      <c r="J47" s="20"/>
    </row>
    <row r="48" spans="1:10" s="14" customFormat="1" ht="12.6" customHeight="1" x14ac:dyDescent="0.25">
      <c r="A48" s="78" t="s">
        <v>190</v>
      </c>
      <c r="B48" s="78"/>
      <c r="C48" s="78"/>
      <c r="D48" s="78"/>
      <c r="E48" s="78"/>
      <c r="F48" s="78"/>
      <c r="G48" s="78"/>
      <c r="H48" s="78"/>
      <c r="I48" s="78"/>
      <c r="J48" s="78"/>
    </row>
    <row r="49" spans="1:10" s="14" customFormat="1" ht="48" customHeight="1" x14ac:dyDescent="0.25">
      <c r="A49" s="79" t="s">
        <v>191</v>
      </c>
      <c r="B49" s="80"/>
      <c r="C49" s="80"/>
      <c r="D49" s="80"/>
      <c r="E49" s="80"/>
      <c r="F49" s="80"/>
      <c r="G49" s="80"/>
      <c r="H49" s="80"/>
      <c r="I49" s="80"/>
      <c r="J49" s="80"/>
    </row>
    <row r="50" spans="1:10" s="14" customFormat="1" ht="11.25" customHeight="1" x14ac:dyDescent="0.25">
      <c r="A50" s="81" t="s">
        <v>192</v>
      </c>
      <c r="B50" s="82"/>
      <c r="C50" s="82"/>
      <c r="D50" s="83"/>
      <c r="E50" s="81" t="s">
        <v>196</v>
      </c>
      <c r="F50" s="83"/>
      <c r="G50" s="81" t="s">
        <v>193</v>
      </c>
      <c r="H50" s="82"/>
      <c r="I50" s="82"/>
      <c r="J50" s="83"/>
    </row>
    <row r="51" spans="1:10" s="14" customFormat="1" ht="45" customHeight="1" x14ac:dyDescent="0.25">
      <c r="A51" s="91"/>
      <c r="B51" s="92"/>
      <c r="C51" s="92"/>
      <c r="D51" s="93"/>
      <c r="E51" s="91"/>
      <c r="F51" s="93"/>
      <c r="G51" s="84" t="s">
        <v>194</v>
      </c>
      <c r="H51" s="85"/>
      <c r="I51" s="85"/>
      <c r="J51" s="86"/>
    </row>
    <row r="52" spans="1:10" ht="12" customHeight="1" x14ac:dyDescent="0.25">
      <c r="A52" s="81" t="s">
        <v>195</v>
      </c>
      <c r="B52" s="82"/>
      <c r="C52" s="82"/>
      <c r="D52" s="83"/>
      <c r="E52" s="81" t="s">
        <v>45</v>
      </c>
      <c r="F52" s="83"/>
      <c r="G52" s="81"/>
      <c r="H52" s="82"/>
      <c r="I52" s="82"/>
      <c r="J52" s="83"/>
    </row>
  </sheetData>
  <mergeCells count="94">
    <mergeCell ref="H37:H39"/>
    <mergeCell ref="I37:I39"/>
    <mergeCell ref="B38:F38"/>
    <mergeCell ref="B39:F39"/>
    <mergeCell ref="A37:A39"/>
    <mergeCell ref="B37:F37"/>
    <mergeCell ref="G37:G39"/>
    <mergeCell ref="G52:J52"/>
    <mergeCell ref="A50:D50"/>
    <mergeCell ref="A51:D51"/>
    <mergeCell ref="A52:D52"/>
    <mergeCell ref="E50:F50"/>
    <mergeCell ref="E51:F51"/>
    <mergeCell ref="E52:F52"/>
    <mergeCell ref="A48:J48"/>
    <mergeCell ref="A49:J49"/>
    <mergeCell ref="G50:J50"/>
    <mergeCell ref="G51:J51"/>
    <mergeCell ref="J34:J36"/>
    <mergeCell ref="B35:F35"/>
    <mergeCell ref="B36:F36"/>
    <mergeCell ref="A34:A36"/>
    <mergeCell ref="B34:F34"/>
    <mergeCell ref="G34:G36"/>
    <mergeCell ref="H34:H36"/>
    <mergeCell ref="I34:I36"/>
    <mergeCell ref="B40:F40"/>
    <mergeCell ref="B41:F41"/>
    <mergeCell ref="A46:J46"/>
    <mergeCell ref="J37:J39"/>
    <mergeCell ref="H31:H33"/>
    <mergeCell ref="I31:I33"/>
    <mergeCell ref="J31:J33"/>
    <mergeCell ref="B32:F32"/>
    <mergeCell ref="B33:F33"/>
    <mergeCell ref="D7:J7"/>
    <mergeCell ref="A43:H43"/>
    <mergeCell ref="A42:H42"/>
    <mergeCell ref="A31:A33"/>
    <mergeCell ref="B31:F31"/>
    <mergeCell ref="G31:G33"/>
    <mergeCell ref="B29:F29"/>
    <mergeCell ref="B30:F30"/>
    <mergeCell ref="I25:I27"/>
    <mergeCell ref="J25:J27"/>
    <mergeCell ref="B26:F26"/>
    <mergeCell ref="B27:F27"/>
    <mergeCell ref="A28:A30"/>
    <mergeCell ref="B28:F28"/>
    <mergeCell ref="G28:G30"/>
    <mergeCell ref="H28:H30"/>
    <mergeCell ref="I28:I30"/>
    <mergeCell ref="J28:J30"/>
    <mergeCell ref="B23:F23"/>
    <mergeCell ref="B24:F24"/>
    <mergeCell ref="B25:F25"/>
    <mergeCell ref="G25:G27"/>
    <mergeCell ref="H25:H27"/>
    <mergeCell ref="J19:J21"/>
    <mergeCell ref="B20:F20"/>
    <mergeCell ref="A22:A24"/>
    <mergeCell ref="B21:F21"/>
    <mergeCell ref="B22:F22"/>
    <mergeCell ref="G22:G24"/>
    <mergeCell ref="H22:H24"/>
    <mergeCell ref="I22:I24"/>
    <mergeCell ref="J22:J24"/>
    <mergeCell ref="A19:A21"/>
    <mergeCell ref="B19:F19"/>
    <mergeCell ref="G19:G21"/>
    <mergeCell ref="H19:H21"/>
    <mergeCell ref="I19:I21"/>
    <mergeCell ref="A25:A27"/>
    <mergeCell ref="A7:B7"/>
    <mergeCell ref="B14:F14"/>
    <mergeCell ref="B16:F16"/>
    <mergeCell ref="B17:F17"/>
    <mergeCell ref="B18:F18"/>
    <mergeCell ref="A9:B9"/>
    <mergeCell ref="D9:J9"/>
    <mergeCell ref="A11:J11"/>
    <mergeCell ref="A12:J12"/>
    <mergeCell ref="B15:F15"/>
    <mergeCell ref="A16:A18"/>
    <mergeCell ref="G16:G18"/>
    <mergeCell ref="H16:H18"/>
    <mergeCell ref="I16:I18"/>
    <mergeCell ref="J16:J18"/>
    <mergeCell ref="A2:J2"/>
    <mergeCell ref="A4:B4"/>
    <mergeCell ref="A5:B5"/>
    <mergeCell ref="A6:B6"/>
    <mergeCell ref="D5:H5"/>
    <mergeCell ref="D6:H6"/>
  </mergeCells>
  <pageMargins left="0.70866141732283472" right="0.70866141732283472" top="0.9055118110236221" bottom="0.78740157480314965" header="0.31496062992125984" footer="0.11811023622047245"/>
  <pageSetup paperSize="9" orientation="portrait" r:id="rId1"/>
  <headerFooter>
    <oddHeader>&amp;L&amp;G</oddHeader>
    <oddFooter>&amp;C&amp;G&amp;R&amp;"Arial,Reguler"&amp;5&amp;K00-019Page &amp;P of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1A8D-F6C2-4F8F-9316-A3FB37EADE54}">
  <dimension ref="A1:F73"/>
  <sheetViews>
    <sheetView view="pageBreakPreview" zoomScaleNormal="85" zoomScaleSheetLayoutView="100" workbookViewId="0">
      <pane ySplit="1" topLeftCell="A26" activePane="bottomLeft" state="frozen"/>
      <selection pane="bottomLeft" activeCell="C33" sqref="C33"/>
    </sheetView>
  </sheetViews>
  <sheetFormatPr defaultRowHeight="15" x14ac:dyDescent="0.25"/>
  <cols>
    <col min="1" max="1" width="4.28515625" customWidth="1"/>
    <col min="2" max="2" width="47.42578125" customWidth="1"/>
    <col min="3" max="3" width="17" style="39" customWidth="1"/>
    <col min="4" max="4" width="61.5703125" customWidth="1"/>
    <col min="5" max="5" width="48.42578125" customWidth="1"/>
  </cols>
  <sheetData>
    <row r="1" spans="1:6" ht="24.6" customHeight="1" x14ac:dyDescent="0.25">
      <c r="A1" s="5" t="s">
        <v>0</v>
      </c>
      <c r="B1" s="5" t="s">
        <v>1</v>
      </c>
      <c r="C1" s="36" t="s">
        <v>4</v>
      </c>
      <c r="D1" s="10" t="s">
        <v>2</v>
      </c>
      <c r="E1" s="5" t="s">
        <v>13</v>
      </c>
      <c r="F1" s="1"/>
    </row>
    <row r="2" spans="1:6" x14ac:dyDescent="0.25">
      <c r="A2" s="8"/>
      <c r="B2" s="7" t="s">
        <v>100</v>
      </c>
      <c r="C2" s="37"/>
      <c r="D2" s="13"/>
      <c r="E2" s="6"/>
      <c r="F2" s="1"/>
    </row>
    <row r="3" spans="1:6" ht="21" customHeight="1" x14ac:dyDescent="0.25">
      <c r="A3" s="2">
        <v>1</v>
      </c>
      <c r="B3" s="3" t="s">
        <v>93</v>
      </c>
      <c r="C3" s="38">
        <v>2500000</v>
      </c>
      <c r="D3" s="4" t="s">
        <v>95</v>
      </c>
      <c r="E3" s="2" t="s">
        <v>96</v>
      </c>
      <c r="F3" s="1"/>
    </row>
    <row r="4" spans="1:6" ht="21" customHeight="1" x14ac:dyDescent="0.25">
      <c r="A4" s="2">
        <v>2</v>
      </c>
      <c r="B4" s="3" t="s">
        <v>94</v>
      </c>
      <c r="C4" s="38">
        <v>1800000</v>
      </c>
      <c r="D4" s="4" t="s">
        <v>95</v>
      </c>
      <c r="E4" s="2" t="s">
        <v>96</v>
      </c>
      <c r="F4" s="1"/>
    </row>
    <row r="5" spans="1:6" ht="21" customHeight="1" x14ac:dyDescent="0.25">
      <c r="A5" s="2">
        <v>3</v>
      </c>
      <c r="B5" s="3" t="s">
        <v>94</v>
      </c>
      <c r="C5" s="38">
        <v>950000</v>
      </c>
      <c r="D5" s="4" t="s">
        <v>97</v>
      </c>
      <c r="E5" s="2" t="s">
        <v>96</v>
      </c>
      <c r="F5" s="1"/>
    </row>
    <row r="6" spans="1:6" ht="21" customHeight="1" x14ac:dyDescent="0.25">
      <c r="A6" s="2">
        <v>4</v>
      </c>
      <c r="B6" s="3" t="s">
        <v>98</v>
      </c>
      <c r="C6" s="38">
        <v>750000</v>
      </c>
      <c r="D6" s="4" t="s">
        <v>105</v>
      </c>
      <c r="E6" s="2" t="s">
        <v>99</v>
      </c>
      <c r="F6" s="1"/>
    </row>
    <row r="7" spans="1:6" ht="21" customHeight="1" x14ac:dyDescent="0.25">
      <c r="A7" s="2">
        <v>5</v>
      </c>
      <c r="B7" s="3" t="s">
        <v>102</v>
      </c>
      <c r="C7" s="38">
        <v>250000</v>
      </c>
      <c r="D7" s="4" t="s">
        <v>3</v>
      </c>
      <c r="E7" s="2" t="s">
        <v>101</v>
      </c>
      <c r="F7" s="1"/>
    </row>
    <row r="8" spans="1:6" ht="21" customHeight="1" x14ac:dyDescent="0.25">
      <c r="A8" s="2">
        <v>6</v>
      </c>
      <c r="B8" s="3" t="s">
        <v>103</v>
      </c>
      <c r="C8" s="38">
        <v>100000</v>
      </c>
      <c r="D8" s="4" t="s">
        <v>3</v>
      </c>
      <c r="E8" s="2" t="s">
        <v>101</v>
      </c>
      <c r="F8" s="1"/>
    </row>
    <row r="9" spans="1:6" ht="21" customHeight="1" x14ac:dyDescent="0.25">
      <c r="A9" s="2">
        <v>7</v>
      </c>
      <c r="B9" s="3" t="s">
        <v>6</v>
      </c>
      <c r="C9" s="38">
        <v>450000</v>
      </c>
      <c r="D9" s="4" t="s">
        <v>106</v>
      </c>
      <c r="E9" s="2" t="s">
        <v>104</v>
      </c>
      <c r="F9" s="1"/>
    </row>
    <row r="10" spans="1:6" x14ac:dyDescent="0.25">
      <c r="A10" s="6"/>
      <c r="B10" s="7" t="s">
        <v>107</v>
      </c>
      <c r="C10" s="37"/>
      <c r="D10" s="13"/>
      <c r="E10" s="6"/>
      <c r="F10" s="1"/>
    </row>
    <row r="11" spans="1:6" ht="21" customHeight="1" x14ac:dyDescent="0.25">
      <c r="A11" s="2">
        <v>1</v>
      </c>
      <c r="B11" s="3" t="s">
        <v>108</v>
      </c>
      <c r="C11" s="38">
        <v>750000</v>
      </c>
      <c r="D11" s="4" t="s">
        <v>109</v>
      </c>
      <c r="E11" s="2" t="s">
        <v>73</v>
      </c>
      <c r="F11" s="1"/>
    </row>
    <row r="12" spans="1:6" ht="21" customHeight="1" x14ac:dyDescent="0.25">
      <c r="A12" s="2">
        <v>2</v>
      </c>
      <c r="B12" s="3" t="s">
        <v>110</v>
      </c>
      <c r="C12" s="38">
        <v>750000</v>
      </c>
      <c r="D12" s="4" t="s">
        <v>111</v>
      </c>
      <c r="E12" s="2" t="s">
        <v>73</v>
      </c>
      <c r="F12" s="1"/>
    </row>
    <row r="13" spans="1:6" ht="21" customHeight="1" x14ac:dyDescent="0.25">
      <c r="A13" s="2">
        <v>3</v>
      </c>
      <c r="B13" s="3" t="s">
        <v>112</v>
      </c>
      <c r="C13" s="38">
        <v>100000</v>
      </c>
      <c r="D13" s="4" t="s">
        <v>3</v>
      </c>
      <c r="E13" s="2" t="s">
        <v>73</v>
      </c>
      <c r="F13" s="1"/>
    </row>
    <row r="14" spans="1:6" ht="21" customHeight="1" x14ac:dyDescent="0.25">
      <c r="A14" s="2">
        <v>4</v>
      </c>
      <c r="B14" s="3" t="s">
        <v>5</v>
      </c>
      <c r="C14" s="38">
        <v>350000</v>
      </c>
      <c r="D14" s="4" t="s">
        <v>5</v>
      </c>
      <c r="E14" s="2" t="s">
        <v>73</v>
      </c>
      <c r="F14" s="1"/>
    </row>
    <row r="15" spans="1:6" ht="21" customHeight="1" x14ac:dyDescent="0.25">
      <c r="A15" s="2">
        <v>5</v>
      </c>
      <c r="B15" s="3" t="s">
        <v>113</v>
      </c>
      <c r="C15" s="38">
        <v>350000</v>
      </c>
      <c r="D15" s="4" t="s">
        <v>113</v>
      </c>
      <c r="E15" s="2" t="s">
        <v>73</v>
      </c>
      <c r="F15" s="1"/>
    </row>
    <row r="16" spans="1:6" ht="21" customHeight="1" x14ac:dyDescent="0.25">
      <c r="A16" s="2">
        <v>6</v>
      </c>
      <c r="B16" s="3" t="s">
        <v>114</v>
      </c>
      <c r="C16" s="38">
        <v>350000</v>
      </c>
      <c r="D16" s="4" t="s">
        <v>114</v>
      </c>
      <c r="E16" s="2" t="s">
        <v>73</v>
      </c>
      <c r="F16" s="1"/>
    </row>
    <row r="17" spans="1:6" ht="21" customHeight="1" x14ac:dyDescent="0.25">
      <c r="A17" s="2">
        <v>7</v>
      </c>
      <c r="B17" s="3" t="s">
        <v>115</v>
      </c>
      <c r="C17" s="38">
        <v>450000</v>
      </c>
      <c r="D17" s="4" t="s">
        <v>106</v>
      </c>
      <c r="E17" s="2" t="s">
        <v>73</v>
      </c>
      <c r="F17" s="1"/>
    </row>
    <row r="18" spans="1:6" ht="21" customHeight="1" x14ac:dyDescent="0.25">
      <c r="A18" s="2">
        <v>8</v>
      </c>
      <c r="B18" s="3" t="s">
        <v>9</v>
      </c>
      <c r="C18" s="38">
        <v>850000</v>
      </c>
      <c r="D18" s="4" t="s">
        <v>9</v>
      </c>
      <c r="E18" s="2" t="s">
        <v>73</v>
      </c>
      <c r="F18" s="1"/>
    </row>
    <row r="19" spans="1:6" ht="21" customHeight="1" x14ac:dyDescent="0.25">
      <c r="A19" s="2">
        <v>9</v>
      </c>
      <c r="B19" s="3" t="s">
        <v>10</v>
      </c>
      <c r="C19" s="38">
        <v>350000</v>
      </c>
      <c r="D19" s="4" t="s">
        <v>10</v>
      </c>
      <c r="E19" s="2" t="s">
        <v>73</v>
      </c>
      <c r="F19" s="1"/>
    </row>
    <row r="20" spans="1:6" ht="21" customHeight="1" x14ac:dyDescent="0.25">
      <c r="A20" s="2">
        <v>10</v>
      </c>
      <c r="B20" s="3" t="s">
        <v>114</v>
      </c>
      <c r="C20" s="38">
        <v>350000</v>
      </c>
      <c r="D20" s="4" t="s">
        <v>114</v>
      </c>
      <c r="E20" s="2" t="s">
        <v>73</v>
      </c>
      <c r="F20" s="1"/>
    </row>
    <row r="21" spans="1:6" ht="21" customHeight="1" x14ac:dyDescent="0.25">
      <c r="A21" s="2">
        <v>11</v>
      </c>
      <c r="B21" s="3" t="s">
        <v>116</v>
      </c>
      <c r="C21" s="38">
        <v>750000</v>
      </c>
      <c r="D21" s="4" t="s">
        <v>117</v>
      </c>
      <c r="E21" s="2" t="s">
        <v>73</v>
      </c>
      <c r="F21" s="1"/>
    </row>
    <row r="22" spans="1:6" ht="21" customHeight="1" x14ac:dyDescent="0.25">
      <c r="A22" s="2">
        <v>12</v>
      </c>
      <c r="B22" s="3" t="s">
        <v>118</v>
      </c>
      <c r="C22" s="38">
        <v>2200000</v>
      </c>
      <c r="D22" s="43" t="s">
        <v>119</v>
      </c>
      <c r="E22" s="2" t="s">
        <v>129</v>
      </c>
      <c r="F22" s="1"/>
    </row>
    <row r="23" spans="1:6" ht="21" customHeight="1" x14ac:dyDescent="0.25">
      <c r="A23" s="2">
        <v>13</v>
      </c>
      <c r="B23" s="3" t="s">
        <v>7</v>
      </c>
      <c r="C23" s="38">
        <v>450000</v>
      </c>
      <c r="D23" s="4" t="s">
        <v>120</v>
      </c>
      <c r="E23" s="42" t="s">
        <v>173</v>
      </c>
      <c r="F23" s="1"/>
    </row>
    <row r="24" spans="1:6" ht="21" customHeight="1" x14ac:dyDescent="0.25">
      <c r="A24" s="2">
        <v>14</v>
      </c>
      <c r="B24" s="3" t="s">
        <v>8</v>
      </c>
      <c r="C24" s="38">
        <v>450000</v>
      </c>
      <c r="D24" s="4" t="s">
        <v>175</v>
      </c>
      <c r="E24" s="2" t="s">
        <v>174</v>
      </c>
      <c r="F24" s="1"/>
    </row>
    <row r="25" spans="1:6" x14ac:dyDescent="0.25">
      <c r="A25" s="6"/>
      <c r="B25" s="7" t="s">
        <v>121</v>
      </c>
      <c r="C25" s="37"/>
      <c r="D25" s="13"/>
      <c r="E25" s="6"/>
      <c r="F25" s="1"/>
    </row>
    <row r="26" spans="1:6" ht="21" customHeight="1" x14ac:dyDescent="0.25">
      <c r="A26" s="2">
        <v>1</v>
      </c>
      <c r="B26" s="3" t="s">
        <v>122</v>
      </c>
      <c r="C26" s="38">
        <v>800000</v>
      </c>
      <c r="D26" s="4" t="s">
        <v>128</v>
      </c>
      <c r="E26" s="2" t="s">
        <v>130</v>
      </c>
      <c r="F26" s="1"/>
    </row>
    <row r="27" spans="1:6" ht="21" customHeight="1" x14ac:dyDescent="0.25">
      <c r="A27" s="2">
        <v>2</v>
      </c>
      <c r="B27" s="3" t="s">
        <v>132</v>
      </c>
      <c r="C27" s="38">
        <v>950000</v>
      </c>
      <c r="D27" s="4" t="s">
        <v>131</v>
      </c>
      <c r="E27" s="2" t="s">
        <v>139</v>
      </c>
      <c r="F27" s="1"/>
    </row>
    <row r="28" spans="1:6" ht="21" customHeight="1" x14ac:dyDescent="0.25">
      <c r="A28" s="2">
        <v>3</v>
      </c>
      <c r="B28" s="3" t="s">
        <v>133</v>
      </c>
      <c r="C28" s="38">
        <v>800000</v>
      </c>
      <c r="D28" s="4" t="s">
        <v>134</v>
      </c>
      <c r="E28" s="2" t="s">
        <v>140</v>
      </c>
      <c r="F28" s="1"/>
    </row>
    <row r="29" spans="1:6" ht="21" customHeight="1" x14ac:dyDescent="0.25">
      <c r="A29" s="2">
        <v>4</v>
      </c>
      <c r="B29" s="3" t="s">
        <v>135</v>
      </c>
      <c r="C29" s="38">
        <v>800000</v>
      </c>
      <c r="D29" s="4" t="s">
        <v>134</v>
      </c>
      <c r="E29" s="2" t="s">
        <v>141</v>
      </c>
      <c r="F29" s="1"/>
    </row>
    <row r="30" spans="1:6" ht="21" customHeight="1" x14ac:dyDescent="0.25">
      <c r="A30" s="2">
        <v>5</v>
      </c>
      <c r="B30" s="3" t="s">
        <v>136</v>
      </c>
      <c r="C30" s="38">
        <v>800000</v>
      </c>
      <c r="D30" s="4" t="s">
        <v>134</v>
      </c>
      <c r="E30" s="2" t="s">
        <v>142</v>
      </c>
      <c r="F30" s="1"/>
    </row>
    <row r="31" spans="1:6" ht="21" customHeight="1" x14ac:dyDescent="0.25">
      <c r="A31" s="2">
        <v>6</v>
      </c>
      <c r="B31" s="3" t="s">
        <v>137</v>
      </c>
      <c r="C31" s="38">
        <v>650000</v>
      </c>
      <c r="D31" s="4" t="s">
        <v>138</v>
      </c>
      <c r="E31" s="2" t="s">
        <v>143</v>
      </c>
      <c r="F31" s="1"/>
    </row>
    <row r="32" spans="1:6" ht="21" customHeight="1" x14ac:dyDescent="0.25">
      <c r="A32" s="2">
        <v>7</v>
      </c>
      <c r="B32" s="3" t="s">
        <v>123</v>
      </c>
      <c r="C32" s="38">
        <v>1625000</v>
      </c>
      <c r="D32" s="35" t="s">
        <v>144</v>
      </c>
      <c r="E32" s="2" t="s">
        <v>145</v>
      </c>
      <c r="F32" s="1"/>
    </row>
    <row r="33" spans="1:6" ht="21" customHeight="1" x14ac:dyDescent="0.25">
      <c r="A33" s="2">
        <v>8</v>
      </c>
      <c r="B33" s="3" t="s">
        <v>124</v>
      </c>
      <c r="C33" s="38">
        <v>3500000</v>
      </c>
      <c r="D33" s="4" t="s">
        <v>146</v>
      </c>
      <c r="E33" s="2" t="s">
        <v>130</v>
      </c>
      <c r="F33" s="1"/>
    </row>
    <row r="34" spans="1:6" ht="21" customHeight="1" x14ac:dyDescent="0.25">
      <c r="A34" s="2">
        <v>9</v>
      </c>
      <c r="B34" s="3" t="s">
        <v>125</v>
      </c>
      <c r="C34" s="38">
        <v>450000</v>
      </c>
      <c r="D34" s="4" t="s">
        <v>127</v>
      </c>
      <c r="E34" s="2" t="s">
        <v>147</v>
      </c>
      <c r="F34" s="1"/>
    </row>
    <row r="35" spans="1:6" ht="21" customHeight="1" x14ac:dyDescent="0.25">
      <c r="A35" s="2">
        <v>10</v>
      </c>
      <c r="B35" s="3" t="s">
        <v>126</v>
      </c>
      <c r="C35" s="38">
        <v>450000</v>
      </c>
      <c r="D35" s="4" t="s">
        <v>11</v>
      </c>
      <c r="E35" s="2" t="s">
        <v>147</v>
      </c>
      <c r="F35" s="1"/>
    </row>
    <row r="36" spans="1:6" x14ac:dyDescent="0.25">
      <c r="A36" s="6"/>
      <c r="B36" s="7" t="s">
        <v>12</v>
      </c>
      <c r="C36" s="37"/>
      <c r="D36" s="13"/>
      <c r="E36" s="6"/>
      <c r="F36" s="1"/>
    </row>
    <row r="37" spans="1:6" ht="21" customHeight="1" x14ac:dyDescent="0.25">
      <c r="A37" s="2">
        <v>1</v>
      </c>
      <c r="B37" s="3" t="s">
        <v>14</v>
      </c>
      <c r="C37" s="38">
        <v>750000</v>
      </c>
      <c r="D37" s="4" t="s">
        <v>148</v>
      </c>
      <c r="E37" s="2" t="s">
        <v>154</v>
      </c>
      <c r="F37" s="1"/>
    </row>
    <row r="38" spans="1:6" ht="21" customHeight="1" x14ac:dyDescent="0.25">
      <c r="A38" s="2">
        <v>2</v>
      </c>
      <c r="B38" s="3" t="s">
        <v>15</v>
      </c>
      <c r="C38" s="38">
        <v>1450000</v>
      </c>
      <c r="D38" s="4" t="s">
        <v>149</v>
      </c>
      <c r="E38" s="2" t="s">
        <v>155</v>
      </c>
      <c r="F38" s="1"/>
    </row>
    <row r="39" spans="1:6" ht="21" customHeight="1" x14ac:dyDescent="0.25">
      <c r="A39" s="2">
        <v>3</v>
      </c>
      <c r="B39" s="3" t="s">
        <v>150</v>
      </c>
      <c r="C39" s="38">
        <v>950000</v>
      </c>
      <c r="D39" s="35" t="s">
        <v>152</v>
      </c>
      <c r="E39" s="2" t="s">
        <v>156</v>
      </c>
      <c r="F39" s="1"/>
    </row>
    <row r="40" spans="1:6" ht="21" customHeight="1" x14ac:dyDescent="0.25">
      <c r="A40" s="2">
        <v>4</v>
      </c>
      <c r="B40" s="3" t="s">
        <v>151</v>
      </c>
      <c r="C40" s="38">
        <v>1150000</v>
      </c>
      <c r="D40" s="35" t="s">
        <v>153</v>
      </c>
      <c r="E40" s="2" t="s">
        <v>156</v>
      </c>
      <c r="F40" s="1"/>
    </row>
    <row r="41" spans="1:6" ht="21" customHeight="1" x14ac:dyDescent="0.25">
      <c r="A41" s="2">
        <v>5</v>
      </c>
      <c r="B41" s="3" t="s">
        <v>17</v>
      </c>
      <c r="C41" s="38">
        <v>1650000</v>
      </c>
      <c r="D41" s="4" t="s">
        <v>157</v>
      </c>
      <c r="E41" s="2" t="s">
        <v>158</v>
      </c>
      <c r="F41" s="1"/>
    </row>
    <row r="42" spans="1:6" ht="21" customHeight="1" x14ac:dyDescent="0.25">
      <c r="A42" s="2">
        <v>6</v>
      </c>
      <c r="B42" s="3" t="s">
        <v>18</v>
      </c>
      <c r="C42" s="38">
        <v>2800000</v>
      </c>
      <c r="D42" s="4" t="s">
        <v>160</v>
      </c>
      <c r="E42" s="2" t="s">
        <v>159</v>
      </c>
      <c r="F42" s="1"/>
    </row>
    <row r="43" spans="1:6" ht="21" customHeight="1" x14ac:dyDescent="0.25">
      <c r="A43" s="2">
        <v>7</v>
      </c>
      <c r="B43" s="3" t="s">
        <v>161</v>
      </c>
      <c r="C43" s="38">
        <v>950000</v>
      </c>
      <c r="D43" s="4" t="s">
        <v>162</v>
      </c>
      <c r="E43" s="2" t="s">
        <v>163</v>
      </c>
      <c r="F43" s="1"/>
    </row>
    <row r="44" spans="1:6" ht="21" customHeight="1" x14ac:dyDescent="0.25">
      <c r="A44" s="2">
        <v>8</v>
      </c>
      <c r="B44" s="3" t="s">
        <v>164</v>
      </c>
      <c r="C44" s="38">
        <v>3000000</v>
      </c>
      <c r="D44" s="4" t="s">
        <v>165</v>
      </c>
      <c r="E44" s="2" t="s">
        <v>163</v>
      </c>
      <c r="F44" s="1"/>
    </row>
    <row r="45" spans="1:6" x14ac:dyDescent="0.25">
      <c r="A45" s="6"/>
      <c r="B45" s="7" t="s">
        <v>16</v>
      </c>
      <c r="C45" s="37"/>
      <c r="D45" s="13"/>
      <c r="E45" s="6"/>
      <c r="F45" s="1"/>
    </row>
    <row r="46" spans="1:6" ht="21" customHeight="1" x14ac:dyDescent="0.25">
      <c r="A46" s="2">
        <v>1</v>
      </c>
      <c r="B46" s="3" t="s">
        <v>19</v>
      </c>
      <c r="C46" s="38">
        <v>2000000</v>
      </c>
      <c r="D46" s="4" t="s">
        <v>171</v>
      </c>
      <c r="E46" s="2" t="s">
        <v>163</v>
      </c>
      <c r="F46" s="1"/>
    </row>
    <row r="47" spans="1:6" ht="21" customHeight="1" x14ac:dyDescent="0.25">
      <c r="A47" s="2">
        <v>2</v>
      </c>
      <c r="B47" s="3" t="s">
        <v>167</v>
      </c>
      <c r="C47" s="38">
        <v>500000</v>
      </c>
      <c r="D47" s="4" t="s">
        <v>168</v>
      </c>
      <c r="E47" s="2" t="s">
        <v>169</v>
      </c>
      <c r="F47" s="1"/>
    </row>
    <row r="48" spans="1:6" ht="21" customHeight="1" x14ac:dyDescent="0.25">
      <c r="A48" s="2">
        <v>2</v>
      </c>
      <c r="B48" s="3" t="s">
        <v>20</v>
      </c>
      <c r="C48" s="38">
        <v>10000000</v>
      </c>
      <c r="D48" s="4" t="s">
        <v>166</v>
      </c>
      <c r="E48" s="2" t="s">
        <v>170</v>
      </c>
      <c r="F48" s="1"/>
    </row>
    <row r="50" spans="1:6" x14ac:dyDescent="0.25">
      <c r="A50" s="11"/>
      <c r="B50" s="7" t="s">
        <v>176</v>
      </c>
      <c r="C50" s="40"/>
      <c r="D50" s="12"/>
      <c r="E50" s="12"/>
      <c r="F50" s="1"/>
    </row>
    <row r="51" spans="1:6" x14ac:dyDescent="0.25">
      <c r="A51" s="94">
        <v>1</v>
      </c>
      <c r="B51" s="97" t="s">
        <v>74</v>
      </c>
      <c r="C51" s="38">
        <v>250000</v>
      </c>
      <c r="D51" s="9" t="s">
        <v>76</v>
      </c>
      <c r="E51" s="9"/>
    </row>
    <row r="52" spans="1:6" x14ac:dyDescent="0.25">
      <c r="A52" s="95"/>
      <c r="B52" s="98"/>
      <c r="C52" s="38">
        <v>350000</v>
      </c>
      <c r="D52" s="9" t="s">
        <v>172</v>
      </c>
      <c r="E52" s="9"/>
    </row>
    <row r="53" spans="1:6" x14ac:dyDescent="0.25">
      <c r="A53" s="96"/>
      <c r="B53" s="99"/>
      <c r="C53" s="38">
        <v>450000</v>
      </c>
      <c r="D53" s="9" t="s">
        <v>77</v>
      </c>
      <c r="E53" s="9"/>
    </row>
    <row r="54" spans="1:6" x14ac:dyDescent="0.25">
      <c r="A54" s="94">
        <v>2</v>
      </c>
      <c r="B54" s="97" t="s">
        <v>75</v>
      </c>
      <c r="C54" s="38">
        <v>300000</v>
      </c>
      <c r="D54" s="9" t="s">
        <v>76</v>
      </c>
      <c r="E54" s="9"/>
    </row>
    <row r="55" spans="1:6" x14ac:dyDescent="0.25">
      <c r="A55" s="95"/>
      <c r="B55" s="98"/>
      <c r="C55" s="38">
        <v>400000</v>
      </c>
      <c r="D55" s="9" t="s">
        <v>172</v>
      </c>
      <c r="E55" s="9"/>
    </row>
    <row r="56" spans="1:6" x14ac:dyDescent="0.25">
      <c r="A56" s="96"/>
      <c r="B56" s="99"/>
      <c r="C56" s="41">
        <v>500000</v>
      </c>
      <c r="D56" s="9" t="s">
        <v>77</v>
      </c>
      <c r="E56" s="9"/>
    </row>
    <row r="57" spans="1:6" x14ac:dyDescent="0.25">
      <c r="A57" s="11"/>
      <c r="B57" s="7" t="s">
        <v>178</v>
      </c>
      <c r="C57" s="40"/>
      <c r="D57" s="12"/>
      <c r="E57" s="12"/>
      <c r="F57" s="1"/>
    </row>
    <row r="58" spans="1:6" x14ac:dyDescent="0.25">
      <c r="A58" s="34">
        <v>1</v>
      </c>
      <c r="B58" s="9" t="s">
        <v>179</v>
      </c>
      <c r="C58" s="38">
        <v>250000</v>
      </c>
      <c r="D58" s="9" t="s">
        <v>177</v>
      </c>
      <c r="E58" s="9"/>
    </row>
    <row r="59" spans="1:6" x14ac:dyDescent="0.25">
      <c r="A59" s="34">
        <v>2</v>
      </c>
      <c r="B59" s="9" t="s">
        <v>180</v>
      </c>
      <c r="C59" s="38">
        <v>500000</v>
      </c>
      <c r="D59" s="9" t="s">
        <v>189</v>
      </c>
      <c r="E59" s="9"/>
    </row>
    <row r="60" spans="1:6" x14ac:dyDescent="0.25">
      <c r="A60" s="34">
        <v>3</v>
      </c>
      <c r="B60" s="9" t="s">
        <v>181</v>
      </c>
      <c r="C60" s="38">
        <v>1000000</v>
      </c>
      <c r="D60" s="9" t="s">
        <v>183</v>
      </c>
      <c r="E60" s="9"/>
    </row>
    <row r="61" spans="1:6" x14ac:dyDescent="0.25">
      <c r="A61" s="34">
        <v>4</v>
      </c>
      <c r="B61" s="9" t="s">
        <v>182</v>
      </c>
      <c r="C61" s="38">
        <v>2000000</v>
      </c>
      <c r="D61" s="9" t="s">
        <v>184</v>
      </c>
      <c r="E61" s="9"/>
    </row>
    <row r="62" spans="1:6" x14ac:dyDescent="0.25">
      <c r="A62" s="34">
        <v>5</v>
      </c>
      <c r="B62" s="9" t="s">
        <v>186</v>
      </c>
      <c r="C62" s="38">
        <v>4000000</v>
      </c>
      <c r="D62" s="9" t="s">
        <v>185</v>
      </c>
      <c r="E62" s="9"/>
    </row>
    <row r="63" spans="1:6" x14ac:dyDescent="0.25">
      <c r="A63" s="34">
        <v>6</v>
      </c>
      <c r="B63" s="9" t="s">
        <v>187</v>
      </c>
      <c r="C63" s="38">
        <v>0</v>
      </c>
      <c r="D63" s="9" t="s">
        <v>188</v>
      </c>
      <c r="E63" s="9"/>
    </row>
    <row r="65" spans="1:6" x14ac:dyDescent="0.25">
      <c r="A65" s="11"/>
      <c r="B65" s="7" t="s">
        <v>78</v>
      </c>
      <c r="C65" s="40"/>
      <c r="D65" s="12"/>
      <c r="E65" s="12"/>
      <c r="F65" s="1"/>
    </row>
    <row r="66" spans="1:6" x14ac:dyDescent="0.25">
      <c r="A66" s="34">
        <v>1</v>
      </c>
      <c r="B66" s="9" t="s">
        <v>79</v>
      </c>
      <c r="C66" s="38">
        <v>250000</v>
      </c>
      <c r="D66" s="9" t="s">
        <v>80</v>
      </c>
      <c r="E66" s="9"/>
    </row>
    <row r="67" spans="1:6" x14ac:dyDescent="0.25">
      <c r="A67" s="34">
        <v>2</v>
      </c>
      <c r="B67" s="9" t="s">
        <v>81</v>
      </c>
      <c r="C67" s="38">
        <v>350000</v>
      </c>
      <c r="D67" s="9" t="s">
        <v>82</v>
      </c>
      <c r="E67" s="9"/>
    </row>
    <row r="68" spans="1:6" x14ac:dyDescent="0.25">
      <c r="A68" s="34">
        <v>3</v>
      </c>
      <c r="B68" s="9" t="s">
        <v>83</v>
      </c>
      <c r="C68" s="38">
        <v>250000</v>
      </c>
      <c r="D68" s="9" t="s">
        <v>84</v>
      </c>
      <c r="E68" s="9"/>
    </row>
    <row r="69" spans="1:6" x14ac:dyDescent="0.25">
      <c r="A69" s="34">
        <v>4</v>
      </c>
      <c r="B69" s="9" t="s">
        <v>86</v>
      </c>
      <c r="C69" s="38">
        <v>500000</v>
      </c>
      <c r="D69" s="9" t="s">
        <v>88</v>
      </c>
      <c r="E69" s="9"/>
    </row>
    <row r="70" spans="1:6" x14ac:dyDescent="0.25">
      <c r="A70" s="34">
        <v>5</v>
      </c>
      <c r="B70" s="9" t="s">
        <v>85</v>
      </c>
      <c r="C70" s="38">
        <v>750000</v>
      </c>
      <c r="D70" s="9" t="s">
        <v>89</v>
      </c>
      <c r="E70" s="9"/>
    </row>
    <row r="71" spans="1:6" x14ac:dyDescent="0.25">
      <c r="A71" s="34">
        <v>6</v>
      </c>
      <c r="B71" s="9" t="s">
        <v>87</v>
      </c>
      <c r="C71" s="38">
        <v>500000</v>
      </c>
      <c r="D71" s="9"/>
      <c r="E71" s="9"/>
    </row>
    <row r="72" spans="1:6" x14ac:dyDescent="0.25">
      <c r="A72" s="34">
        <v>7</v>
      </c>
      <c r="B72" s="9" t="s">
        <v>90</v>
      </c>
      <c r="C72" s="38">
        <v>100000</v>
      </c>
      <c r="D72" s="33" t="s">
        <v>91</v>
      </c>
      <c r="E72" s="33"/>
    </row>
    <row r="73" spans="1:6" x14ac:dyDescent="0.25">
      <c r="A73" s="34">
        <v>8</v>
      </c>
      <c r="B73" s="9" t="s">
        <v>92</v>
      </c>
      <c r="C73" s="38">
        <v>100000</v>
      </c>
      <c r="D73" s="33" t="s">
        <v>91</v>
      </c>
      <c r="E73" s="33"/>
    </row>
  </sheetData>
  <mergeCells count="4">
    <mergeCell ref="A51:A53"/>
    <mergeCell ref="B51:B53"/>
    <mergeCell ref="A54:A56"/>
    <mergeCell ref="B54:B56"/>
  </mergeCells>
  <pageMargins left="0.25" right="0.25" top="0.75" bottom="0.75" header="0.3" footer="0.3"/>
  <pageSetup scale="73" orientation="landscape" horizontalDpi="360" verticalDpi="360" r:id="rId1"/>
  <rowBreaks count="1" manualBreakCount="1">
    <brk id="35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Quotation</vt:lpstr>
      <vt:lpstr>List Paket</vt:lpstr>
      <vt:lpstr>'List Paket'!Print_Area</vt:lpstr>
      <vt:lpstr>Quotation!Print_Area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 Fajar Al Pandi</cp:lastModifiedBy>
  <cp:lastPrinted>2026-02-02T06:42:26Z</cp:lastPrinted>
  <dcterms:created xsi:type="dcterms:W3CDTF">2016-08-31T09:46:38Z</dcterms:created>
  <dcterms:modified xsi:type="dcterms:W3CDTF">2026-02-13T09:31:40Z</dcterms:modified>
</cp:coreProperties>
</file>